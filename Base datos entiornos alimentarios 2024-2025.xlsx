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9DE506DF-B508-423F-BECF-E9F4B7B842D9}" xr6:coauthVersionLast="47" xr6:coauthVersionMax="47" xr10:uidLastSave="{00000000-0000-0000-0000-000000000000}"/>
  <bookViews>
    <workbookView xWindow="30612" yWindow="-108" windowWidth="23256" windowHeight="12456" activeTab="1" xr2:uid="{5A646A0E-A1D3-4724-ACE1-A01DB9CA896F}"/>
  </bookViews>
  <sheets>
    <sheet name="2024" sheetId="1" r:id="rId1"/>
    <sheet name="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BS265" i="2"/>
  <c r="BY265" i="2" s="1"/>
  <c r="BJ265" i="2"/>
  <c r="BX265" i="2" s="1"/>
  <c r="AZ265" i="2"/>
  <c r="BV265" i="2" s="1"/>
  <c r="AK265" i="2"/>
  <c r="BU265" i="2" s="1"/>
  <c r="BW265" i="2" s="1"/>
  <c r="CA265" i="2" s="1"/>
  <c r="BY264" i="2"/>
  <c r="BX264" i="2"/>
  <c r="BV264" i="2"/>
  <c r="BU264" i="2"/>
  <c r="BW264" i="2" s="1"/>
  <c r="CA264" i="2" s="1"/>
  <c r="BS264" i="2"/>
  <c r="BJ264" i="2"/>
  <c r="AZ264" i="2"/>
  <c r="AK264" i="2"/>
  <c r="BV263" i="2"/>
  <c r="BU263" i="2"/>
  <c r="BW263" i="2" s="1"/>
  <c r="CA263" i="2" s="1"/>
  <c r="BS263" i="2"/>
  <c r="BY263" i="2" s="1"/>
  <c r="BJ263" i="2"/>
  <c r="BX263" i="2" s="1"/>
  <c r="AZ263" i="2"/>
  <c r="AK263" i="2"/>
  <c r="BY262" i="2"/>
  <c r="BS262" i="2"/>
  <c r="BJ262" i="2"/>
  <c r="BX262" i="2" s="1"/>
  <c r="AZ262" i="2"/>
  <c r="BV262" i="2" s="1"/>
  <c r="AK262" i="2"/>
  <c r="BU262" i="2" s="1"/>
  <c r="BW262" i="2" s="1"/>
  <c r="CA262" i="2" s="1"/>
  <c r="BY261" i="2"/>
  <c r="BX261" i="2"/>
  <c r="BV261" i="2"/>
  <c r="BU261" i="2"/>
  <c r="BW261" i="2" s="1"/>
  <c r="CA261" i="2" s="1"/>
  <c r="BS261" i="2"/>
  <c r="BJ261" i="2"/>
  <c r="AZ261" i="2"/>
  <c r="AK261" i="2"/>
  <c r="BS260" i="2"/>
  <c r="BY260" i="2" s="1"/>
  <c r="BJ260" i="2"/>
  <c r="BX260" i="2" s="1"/>
  <c r="AZ260" i="2"/>
  <c r="BV260" i="2" s="1"/>
  <c r="AK260" i="2"/>
  <c r="BU260" i="2" s="1"/>
  <c r="BW260" i="2" s="1"/>
  <c r="CA260" i="2" s="1"/>
  <c r="BY259" i="2"/>
  <c r="BX259" i="2"/>
  <c r="BW259" i="2"/>
  <c r="CA259" i="2" s="1"/>
  <c r="BS259" i="2"/>
  <c r="BJ259" i="2"/>
  <c r="AZ259" i="2"/>
  <c r="BV259" i="2" s="1"/>
  <c r="AK259" i="2"/>
  <c r="BU259" i="2" s="1"/>
  <c r="BS258" i="2"/>
  <c r="BY258" i="2" s="1"/>
  <c r="BJ258" i="2"/>
  <c r="BX258" i="2" s="1"/>
  <c r="AZ258" i="2"/>
  <c r="BV258" i="2" s="1"/>
  <c r="AK258" i="2"/>
  <c r="BU258" i="2" s="1"/>
  <c r="BS257" i="2"/>
  <c r="BY257" i="2" s="1"/>
  <c r="BJ257" i="2"/>
  <c r="BX257" i="2" s="1"/>
  <c r="AZ257" i="2"/>
  <c r="BV257" i="2" s="1"/>
  <c r="AK257" i="2"/>
  <c r="BU257" i="2" s="1"/>
  <c r="BW257" i="2" s="1"/>
  <c r="CA257" i="2" s="1"/>
  <c r="CA256" i="2"/>
  <c r="BY256" i="2"/>
  <c r="BX256" i="2"/>
  <c r="BW256" i="2"/>
  <c r="BV256" i="2"/>
  <c r="BU256" i="2"/>
  <c r="BS256" i="2"/>
  <c r="BJ256" i="2"/>
  <c r="AZ256" i="2"/>
  <c r="AK256" i="2"/>
  <c r="BS255" i="2"/>
  <c r="BY255" i="2" s="1"/>
  <c r="BJ255" i="2"/>
  <c r="BX255" i="2" s="1"/>
  <c r="AZ255" i="2"/>
  <c r="BV255" i="2" s="1"/>
  <c r="AK255" i="2"/>
  <c r="BU255" i="2" s="1"/>
  <c r="BW255" i="2" s="1"/>
  <c r="CA255" i="2" s="1"/>
  <c r="BY254" i="2"/>
  <c r="BS254" i="2"/>
  <c r="BJ254" i="2"/>
  <c r="BX254" i="2" s="1"/>
  <c r="AZ254" i="2"/>
  <c r="BV254" i="2" s="1"/>
  <c r="AK254" i="2"/>
  <c r="BU254" i="2" s="1"/>
  <c r="BV253" i="2"/>
  <c r="BU253" i="2"/>
  <c r="BW253" i="2" s="1"/>
  <c r="BS253" i="2"/>
  <c r="BY253" i="2" s="1"/>
  <c r="BJ253" i="2"/>
  <c r="BX253" i="2" s="1"/>
  <c r="AZ253" i="2"/>
  <c r="AK253" i="2"/>
  <c r="BS252" i="2"/>
  <c r="BY252" i="2" s="1"/>
  <c r="BJ252" i="2"/>
  <c r="BX252" i="2" s="1"/>
  <c r="AZ252" i="2"/>
  <c r="BV252" i="2" s="1"/>
  <c r="AK252" i="2"/>
  <c r="BU252" i="2" s="1"/>
  <c r="BW252" i="2" s="1"/>
  <c r="BY251" i="2"/>
  <c r="BX251" i="2"/>
  <c r="BS251" i="2"/>
  <c r="BJ251" i="2"/>
  <c r="AZ251" i="2"/>
  <c r="BV251" i="2" s="1"/>
  <c r="AK251" i="2"/>
  <c r="BU251" i="2" s="1"/>
  <c r="BW251" i="2" s="1"/>
  <c r="CA251" i="2" s="1"/>
  <c r="BX250" i="2"/>
  <c r="BV250" i="2"/>
  <c r="BU250" i="2"/>
  <c r="BW250" i="2" s="1"/>
  <c r="BS250" i="2"/>
  <c r="BY250" i="2" s="1"/>
  <c r="BJ250" i="2"/>
  <c r="AZ250" i="2"/>
  <c r="AK250" i="2"/>
  <c r="BS249" i="2"/>
  <c r="BY249" i="2" s="1"/>
  <c r="BJ249" i="2"/>
  <c r="BX249" i="2" s="1"/>
  <c r="AZ249" i="2"/>
  <c r="BV249" i="2" s="1"/>
  <c r="AK249" i="2"/>
  <c r="BU249" i="2" s="1"/>
  <c r="BW249" i="2" s="1"/>
  <c r="CA249" i="2" s="1"/>
  <c r="BY248" i="2"/>
  <c r="BX248" i="2"/>
  <c r="BV248" i="2"/>
  <c r="BU248" i="2"/>
  <c r="BW248" i="2" s="1"/>
  <c r="CA248" i="2" s="1"/>
  <c r="BS248" i="2"/>
  <c r="BJ248" i="2"/>
  <c r="AZ248" i="2"/>
  <c r="AK248" i="2"/>
  <c r="BV247" i="2"/>
  <c r="BU247" i="2"/>
  <c r="BW247" i="2" s="1"/>
  <c r="CA247" i="2" s="1"/>
  <c r="BS247" i="2"/>
  <c r="BY247" i="2" s="1"/>
  <c r="BJ247" i="2"/>
  <c r="BX247" i="2" s="1"/>
  <c r="AZ247" i="2"/>
  <c r="AK247" i="2"/>
  <c r="BY246" i="2"/>
  <c r="BS246" i="2"/>
  <c r="BJ246" i="2"/>
  <c r="BX246" i="2" s="1"/>
  <c r="AZ246" i="2"/>
  <c r="BV246" i="2" s="1"/>
  <c r="AK246" i="2"/>
  <c r="BU246" i="2" s="1"/>
  <c r="BW246" i="2" s="1"/>
  <c r="CA246" i="2" s="1"/>
  <c r="BY245" i="2"/>
  <c r="BX245" i="2"/>
  <c r="BV245" i="2"/>
  <c r="BU245" i="2"/>
  <c r="BW245" i="2" s="1"/>
  <c r="CA245" i="2" s="1"/>
  <c r="BS245" i="2"/>
  <c r="BJ245" i="2"/>
  <c r="AZ245" i="2"/>
  <c r="AK245" i="2"/>
  <c r="BS244" i="2"/>
  <c r="BY244" i="2" s="1"/>
  <c r="BJ244" i="2"/>
  <c r="BX244" i="2" s="1"/>
  <c r="AZ244" i="2"/>
  <c r="BV244" i="2" s="1"/>
  <c r="AK244" i="2"/>
  <c r="BU244" i="2" s="1"/>
  <c r="BW244" i="2" s="1"/>
  <c r="CA244" i="2" s="1"/>
  <c r="BY243" i="2"/>
  <c r="BX243" i="2"/>
  <c r="BW243" i="2"/>
  <c r="CA243" i="2" s="1"/>
  <c r="BS243" i="2"/>
  <c r="BJ243" i="2"/>
  <c r="AZ243" i="2"/>
  <c r="BV243" i="2" s="1"/>
  <c r="AK243" i="2"/>
  <c r="BU243" i="2" s="1"/>
  <c r="BS242" i="2"/>
  <c r="BY242" i="2" s="1"/>
  <c r="BJ242" i="2"/>
  <c r="BX242" i="2" s="1"/>
  <c r="AZ242" i="2"/>
  <c r="BV242" i="2" s="1"/>
  <c r="AK242" i="2"/>
  <c r="BU242" i="2" s="1"/>
  <c r="BW242" i="2" s="1"/>
  <c r="CA242" i="2" s="1"/>
  <c r="BS241" i="2"/>
  <c r="BY241" i="2" s="1"/>
  <c r="BJ241" i="2"/>
  <c r="BX241" i="2" s="1"/>
  <c r="AZ241" i="2"/>
  <c r="BV241" i="2" s="1"/>
  <c r="AK241" i="2"/>
  <c r="BU241" i="2" s="1"/>
  <c r="BW241" i="2" s="1"/>
  <c r="CA241" i="2" s="1"/>
  <c r="CA240" i="2"/>
  <c r="BY240" i="2"/>
  <c r="BX240" i="2"/>
  <c r="BW240" i="2"/>
  <c r="BV240" i="2"/>
  <c r="BU240" i="2"/>
  <c r="BS240" i="2"/>
  <c r="BJ240" i="2"/>
  <c r="AZ240" i="2"/>
  <c r="AK240" i="2"/>
  <c r="BS239" i="2"/>
  <c r="BY239" i="2" s="1"/>
  <c r="BJ239" i="2"/>
  <c r="BX239" i="2" s="1"/>
  <c r="AZ239" i="2"/>
  <c r="BV239" i="2" s="1"/>
  <c r="AK239" i="2"/>
  <c r="BU239" i="2" s="1"/>
  <c r="BW239" i="2" s="1"/>
  <c r="CA239" i="2" s="1"/>
  <c r="BY238" i="2"/>
  <c r="BS238" i="2"/>
  <c r="BJ238" i="2"/>
  <c r="BX238" i="2" s="1"/>
  <c r="AZ238" i="2"/>
  <c r="BV238" i="2" s="1"/>
  <c r="AK238" i="2"/>
  <c r="BU238" i="2" s="1"/>
  <c r="BV237" i="2"/>
  <c r="BU237" i="2"/>
  <c r="BW237" i="2" s="1"/>
  <c r="BS237" i="2"/>
  <c r="BY237" i="2" s="1"/>
  <c r="BJ237" i="2"/>
  <c r="BX237" i="2" s="1"/>
  <c r="AZ237" i="2"/>
  <c r="AK237" i="2"/>
  <c r="BS236" i="2"/>
  <c r="BY236" i="2" s="1"/>
  <c r="BJ236" i="2"/>
  <c r="BX236" i="2" s="1"/>
  <c r="AZ236" i="2"/>
  <c r="BV236" i="2" s="1"/>
  <c r="AK236" i="2"/>
  <c r="BU236" i="2" s="1"/>
  <c r="BW236" i="2" s="1"/>
  <c r="BY235" i="2"/>
  <c r="BX235" i="2"/>
  <c r="BS235" i="2"/>
  <c r="BJ235" i="2"/>
  <c r="AZ235" i="2"/>
  <c r="BV235" i="2" s="1"/>
  <c r="AK235" i="2"/>
  <c r="BU235" i="2" s="1"/>
  <c r="BW235" i="2" s="1"/>
  <c r="CA235" i="2" s="1"/>
  <c r="BX234" i="2"/>
  <c r="BV234" i="2"/>
  <c r="BU234" i="2"/>
  <c r="BW234" i="2" s="1"/>
  <c r="CA234" i="2" s="1"/>
  <c r="BS234" i="2"/>
  <c r="BY234" i="2" s="1"/>
  <c r="BJ234" i="2"/>
  <c r="AZ234" i="2"/>
  <c r="AK234" i="2"/>
  <c r="BS233" i="2"/>
  <c r="BY233" i="2" s="1"/>
  <c r="BJ233" i="2"/>
  <c r="BX233" i="2" s="1"/>
  <c r="AZ233" i="2"/>
  <c r="BV233" i="2" s="1"/>
  <c r="AK233" i="2"/>
  <c r="BU233" i="2" s="1"/>
  <c r="BW233" i="2" s="1"/>
  <c r="CA233" i="2" s="1"/>
  <c r="BY232" i="2"/>
  <c r="BX232" i="2"/>
  <c r="BV232" i="2"/>
  <c r="BU232" i="2"/>
  <c r="BW232" i="2" s="1"/>
  <c r="CA232" i="2" s="1"/>
  <c r="BS232" i="2"/>
  <c r="BJ232" i="2"/>
  <c r="AZ232" i="2"/>
  <c r="AK232" i="2"/>
  <c r="BV231" i="2"/>
  <c r="BU231" i="2"/>
  <c r="BW231" i="2" s="1"/>
  <c r="CA231" i="2" s="1"/>
  <c r="BS231" i="2"/>
  <c r="BY231" i="2" s="1"/>
  <c r="BJ231" i="2"/>
  <c r="BX231" i="2" s="1"/>
  <c r="AZ231" i="2"/>
  <c r="AK231" i="2"/>
  <c r="BY230" i="2"/>
  <c r="BS230" i="2"/>
  <c r="BJ230" i="2"/>
  <c r="BX230" i="2" s="1"/>
  <c r="AZ230" i="2"/>
  <c r="BV230" i="2" s="1"/>
  <c r="AK230" i="2"/>
  <c r="BU230" i="2" s="1"/>
  <c r="BW230" i="2" s="1"/>
  <c r="CA230" i="2" s="1"/>
  <c r="BY229" i="2"/>
  <c r="BX229" i="2"/>
  <c r="BV229" i="2"/>
  <c r="BU229" i="2"/>
  <c r="BW229" i="2" s="1"/>
  <c r="CA229" i="2" s="1"/>
  <c r="BS229" i="2"/>
  <c r="BJ229" i="2"/>
  <c r="AZ229" i="2"/>
  <c r="AK229" i="2"/>
  <c r="BS228" i="2"/>
  <c r="BY228" i="2" s="1"/>
  <c r="BJ228" i="2"/>
  <c r="BX228" i="2" s="1"/>
  <c r="AZ228" i="2"/>
  <c r="BV228" i="2" s="1"/>
  <c r="AK228" i="2"/>
  <c r="BU228" i="2" s="1"/>
  <c r="BW228" i="2" s="1"/>
  <c r="CA228" i="2" s="1"/>
  <c r="BY227" i="2"/>
  <c r="BX227" i="2"/>
  <c r="BW227" i="2"/>
  <c r="CA227" i="2" s="1"/>
  <c r="BS227" i="2"/>
  <c r="BJ227" i="2"/>
  <c r="AZ227" i="2"/>
  <c r="BV227" i="2" s="1"/>
  <c r="AK227" i="2"/>
  <c r="BU227" i="2" s="1"/>
  <c r="BS226" i="2"/>
  <c r="BY226" i="2" s="1"/>
  <c r="BJ226" i="2"/>
  <c r="BX226" i="2" s="1"/>
  <c r="AZ226" i="2"/>
  <c r="BV226" i="2" s="1"/>
  <c r="AK226" i="2"/>
  <c r="BU226" i="2" s="1"/>
  <c r="BW226" i="2" s="1"/>
  <c r="CA226" i="2" s="1"/>
  <c r="BS225" i="2"/>
  <c r="BY225" i="2" s="1"/>
  <c r="BJ225" i="2"/>
  <c r="BX225" i="2" s="1"/>
  <c r="AZ225" i="2"/>
  <c r="BV225" i="2" s="1"/>
  <c r="AK225" i="2"/>
  <c r="BU225" i="2" s="1"/>
  <c r="BW225" i="2" s="1"/>
  <c r="CA225" i="2" s="1"/>
  <c r="CA224" i="2"/>
  <c r="BY224" i="2"/>
  <c r="BX224" i="2"/>
  <c r="BW224" i="2"/>
  <c r="BV224" i="2"/>
  <c r="BU224" i="2"/>
  <c r="BS224" i="2"/>
  <c r="BJ224" i="2"/>
  <c r="AZ224" i="2"/>
  <c r="AK224" i="2"/>
  <c r="BS223" i="2"/>
  <c r="BY223" i="2" s="1"/>
  <c r="BJ223" i="2"/>
  <c r="BX223" i="2" s="1"/>
  <c r="AZ223" i="2"/>
  <c r="BV223" i="2" s="1"/>
  <c r="AK223" i="2"/>
  <c r="BU223" i="2" s="1"/>
  <c r="BW223" i="2" s="1"/>
  <c r="CA223" i="2" s="1"/>
  <c r="BY222" i="2"/>
  <c r="BS222" i="2"/>
  <c r="BJ222" i="2"/>
  <c r="BX222" i="2" s="1"/>
  <c r="AZ222" i="2"/>
  <c r="BV222" i="2" s="1"/>
  <c r="AK222" i="2"/>
  <c r="BU222" i="2" s="1"/>
  <c r="BV221" i="2"/>
  <c r="BU221" i="2"/>
  <c r="BW221" i="2" s="1"/>
  <c r="BS221" i="2"/>
  <c r="BY221" i="2" s="1"/>
  <c r="BJ221" i="2"/>
  <c r="BX221" i="2" s="1"/>
  <c r="AZ221" i="2"/>
  <c r="AK221" i="2"/>
  <c r="BS220" i="2"/>
  <c r="BY220" i="2" s="1"/>
  <c r="BJ220" i="2"/>
  <c r="BX220" i="2" s="1"/>
  <c r="AZ220" i="2"/>
  <c r="BV220" i="2" s="1"/>
  <c r="AK220" i="2"/>
  <c r="BU220" i="2" s="1"/>
  <c r="BW220" i="2" s="1"/>
  <c r="BY219" i="2"/>
  <c r="BX219" i="2"/>
  <c r="BS219" i="2"/>
  <c r="BJ219" i="2"/>
  <c r="AZ219" i="2"/>
  <c r="BV219" i="2" s="1"/>
  <c r="AK219" i="2"/>
  <c r="BU219" i="2" s="1"/>
  <c r="BW219" i="2" s="1"/>
  <c r="CA219" i="2" s="1"/>
  <c r="BX218" i="2"/>
  <c r="BV218" i="2"/>
  <c r="BU218" i="2"/>
  <c r="BW218" i="2" s="1"/>
  <c r="BS218" i="2"/>
  <c r="BY218" i="2" s="1"/>
  <c r="BJ218" i="2"/>
  <c r="AZ218" i="2"/>
  <c r="AK218" i="2"/>
  <c r="BS217" i="2"/>
  <c r="BY217" i="2" s="1"/>
  <c r="BJ217" i="2"/>
  <c r="BX217" i="2" s="1"/>
  <c r="AZ217" i="2"/>
  <c r="BV217" i="2" s="1"/>
  <c r="AK217" i="2"/>
  <c r="BU217" i="2" s="1"/>
  <c r="BW217" i="2" s="1"/>
  <c r="CA217" i="2" s="1"/>
  <c r="BY216" i="2"/>
  <c r="BX216" i="2"/>
  <c r="BV216" i="2"/>
  <c r="BU216" i="2"/>
  <c r="BW216" i="2" s="1"/>
  <c r="CA216" i="2" s="1"/>
  <c r="BS216" i="2"/>
  <c r="BJ216" i="2"/>
  <c r="AZ216" i="2"/>
  <c r="AK216" i="2"/>
  <c r="BV215" i="2"/>
  <c r="BU215" i="2"/>
  <c r="BW215" i="2" s="1"/>
  <c r="CA215" i="2" s="1"/>
  <c r="BS215" i="2"/>
  <c r="BY215" i="2" s="1"/>
  <c r="BJ215" i="2"/>
  <c r="BX215" i="2" s="1"/>
  <c r="AZ215" i="2"/>
  <c r="AK215" i="2"/>
  <c r="BY214" i="2"/>
  <c r="BS214" i="2"/>
  <c r="BJ214" i="2"/>
  <c r="BX214" i="2" s="1"/>
  <c r="AZ214" i="2"/>
  <c r="BV214" i="2" s="1"/>
  <c r="AK214" i="2"/>
  <c r="BU214" i="2" s="1"/>
  <c r="BW214" i="2" s="1"/>
  <c r="CA214" i="2" s="1"/>
  <c r="BY213" i="2"/>
  <c r="BX213" i="2"/>
  <c r="BV213" i="2"/>
  <c r="BU213" i="2"/>
  <c r="BW213" i="2" s="1"/>
  <c r="BS213" i="2"/>
  <c r="BJ213" i="2"/>
  <c r="AZ213" i="2"/>
  <c r="AK213" i="2"/>
  <c r="BS212" i="2"/>
  <c r="BY212" i="2" s="1"/>
  <c r="BJ212" i="2"/>
  <c r="BX212" i="2" s="1"/>
  <c r="AZ212" i="2"/>
  <c r="BV212" i="2" s="1"/>
  <c r="AK212" i="2"/>
  <c r="BU212" i="2" s="1"/>
  <c r="BW212" i="2" s="1"/>
  <c r="CA212" i="2" s="1"/>
  <c r="BY211" i="2"/>
  <c r="BX211" i="2"/>
  <c r="BW211" i="2"/>
  <c r="CA211" i="2" s="1"/>
  <c r="BS211" i="2"/>
  <c r="BJ211" i="2"/>
  <c r="AZ211" i="2"/>
  <c r="BV211" i="2" s="1"/>
  <c r="AK211" i="2"/>
  <c r="BU211" i="2" s="1"/>
  <c r="BS210" i="2"/>
  <c r="BY210" i="2" s="1"/>
  <c r="BJ210" i="2"/>
  <c r="BX210" i="2" s="1"/>
  <c r="AZ210" i="2"/>
  <c r="BV210" i="2" s="1"/>
  <c r="AK210" i="2"/>
  <c r="BU210" i="2" s="1"/>
  <c r="BW210" i="2" s="1"/>
  <c r="CA210" i="2" s="1"/>
  <c r="BS209" i="2"/>
  <c r="BY209" i="2" s="1"/>
  <c r="BJ209" i="2"/>
  <c r="BX209" i="2" s="1"/>
  <c r="AZ209" i="2"/>
  <c r="BV209" i="2" s="1"/>
  <c r="AK209" i="2"/>
  <c r="BU209" i="2" s="1"/>
  <c r="BW209" i="2" s="1"/>
  <c r="CA209" i="2" s="1"/>
  <c r="CA208" i="2"/>
  <c r="BY208" i="2"/>
  <c r="BX208" i="2"/>
  <c r="BW208" i="2"/>
  <c r="BV208" i="2"/>
  <c r="BU208" i="2"/>
  <c r="BS208" i="2"/>
  <c r="BJ208" i="2"/>
  <c r="AZ208" i="2"/>
  <c r="AK208" i="2"/>
  <c r="BS207" i="2"/>
  <c r="BY207" i="2" s="1"/>
  <c r="BJ207" i="2"/>
  <c r="BX207" i="2" s="1"/>
  <c r="AZ207" i="2"/>
  <c r="BV207" i="2" s="1"/>
  <c r="AK207" i="2"/>
  <c r="BU207" i="2" s="1"/>
  <c r="BY206" i="2"/>
  <c r="BS206" i="2"/>
  <c r="BJ206" i="2"/>
  <c r="BX206" i="2" s="1"/>
  <c r="AZ206" i="2"/>
  <c r="BV206" i="2" s="1"/>
  <c r="AK206" i="2"/>
  <c r="BU206" i="2" s="1"/>
  <c r="BV205" i="2"/>
  <c r="BU205" i="2"/>
  <c r="BW205" i="2" s="1"/>
  <c r="BS205" i="2"/>
  <c r="BY205" i="2" s="1"/>
  <c r="BJ205" i="2"/>
  <c r="BX205" i="2" s="1"/>
  <c r="AZ205" i="2"/>
  <c r="AK205" i="2"/>
  <c r="BS204" i="2"/>
  <c r="BY204" i="2" s="1"/>
  <c r="BJ204" i="2"/>
  <c r="BX204" i="2" s="1"/>
  <c r="AZ204" i="2"/>
  <c r="BV204" i="2" s="1"/>
  <c r="AK204" i="2"/>
  <c r="BU204" i="2" s="1"/>
  <c r="BW204" i="2" s="1"/>
  <c r="BY203" i="2"/>
  <c r="BX203" i="2"/>
  <c r="BS203" i="2"/>
  <c r="BJ203" i="2"/>
  <c r="AZ203" i="2"/>
  <c r="BV203" i="2" s="1"/>
  <c r="AK203" i="2"/>
  <c r="BU203" i="2" s="1"/>
  <c r="BW203" i="2" s="1"/>
  <c r="CA203" i="2" s="1"/>
  <c r="BX202" i="2"/>
  <c r="BV202" i="2"/>
  <c r="BU202" i="2"/>
  <c r="BW202" i="2" s="1"/>
  <c r="CA202" i="2" s="1"/>
  <c r="BS202" i="2"/>
  <c r="BY202" i="2" s="1"/>
  <c r="BJ202" i="2"/>
  <c r="AZ202" i="2"/>
  <c r="AK202" i="2"/>
  <c r="BS201" i="2"/>
  <c r="BY201" i="2" s="1"/>
  <c r="BJ201" i="2"/>
  <c r="BX201" i="2" s="1"/>
  <c r="AZ201" i="2"/>
  <c r="BV201" i="2" s="1"/>
  <c r="AK201" i="2"/>
  <c r="BU201" i="2" s="1"/>
  <c r="BW201" i="2" s="1"/>
  <c r="CA201" i="2" s="1"/>
  <c r="BY200" i="2"/>
  <c r="BX200" i="2"/>
  <c r="BV200" i="2"/>
  <c r="BU200" i="2"/>
  <c r="BW200" i="2" s="1"/>
  <c r="CA200" i="2" s="1"/>
  <c r="BS200" i="2"/>
  <c r="BJ200" i="2"/>
  <c r="AZ200" i="2"/>
  <c r="AK200" i="2"/>
  <c r="BV199" i="2"/>
  <c r="BU199" i="2"/>
  <c r="BW199" i="2" s="1"/>
  <c r="CA199" i="2" s="1"/>
  <c r="BS199" i="2"/>
  <c r="BY199" i="2" s="1"/>
  <c r="BJ199" i="2"/>
  <c r="BX199" i="2" s="1"/>
  <c r="AZ199" i="2"/>
  <c r="AK199" i="2"/>
  <c r="BY198" i="2"/>
  <c r="BS198" i="2"/>
  <c r="BJ198" i="2"/>
  <c r="BX198" i="2" s="1"/>
  <c r="AZ198" i="2"/>
  <c r="BV198" i="2" s="1"/>
  <c r="AK198" i="2"/>
  <c r="BU198" i="2" s="1"/>
  <c r="BW198" i="2" s="1"/>
  <c r="CA198" i="2" s="1"/>
  <c r="BY197" i="2"/>
  <c r="BX197" i="2"/>
  <c r="BV197" i="2"/>
  <c r="BU197" i="2"/>
  <c r="BW197" i="2" s="1"/>
  <c r="BS197" i="2"/>
  <c r="BJ197" i="2"/>
  <c r="AZ197" i="2"/>
  <c r="AK197" i="2"/>
  <c r="BS196" i="2"/>
  <c r="BY196" i="2" s="1"/>
  <c r="BJ196" i="2"/>
  <c r="BX196" i="2" s="1"/>
  <c r="AZ196" i="2"/>
  <c r="BV196" i="2" s="1"/>
  <c r="AK196" i="2"/>
  <c r="BU196" i="2" s="1"/>
  <c r="BW196" i="2" s="1"/>
  <c r="CA196" i="2" s="1"/>
  <c r="BY195" i="2"/>
  <c r="BX195" i="2"/>
  <c r="BW195" i="2"/>
  <c r="CA195" i="2" s="1"/>
  <c r="BS195" i="2"/>
  <c r="BJ195" i="2"/>
  <c r="AZ195" i="2"/>
  <c r="BV195" i="2" s="1"/>
  <c r="AK195" i="2"/>
  <c r="BU195" i="2" s="1"/>
  <c r="BS194" i="2"/>
  <c r="BY194" i="2" s="1"/>
  <c r="BJ194" i="2"/>
  <c r="BX194" i="2" s="1"/>
  <c r="AZ194" i="2"/>
  <c r="BV194" i="2" s="1"/>
  <c r="AK194" i="2"/>
  <c r="BU194" i="2" s="1"/>
  <c r="BW194" i="2" s="1"/>
  <c r="BS193" i="2"/>
  <c r="BY193" i="2" s="1"/>
  <c r="BJ193" i="2"/>
  <c r="BX193" i="2" s="1"/>
  <c r="AZ193" i="2"/>
  <c r="BV193" i="2" s="1"/>
  <c r="AK193" i="2"/>
  <c r="BU193" i="2" s="1"/>
  <c r="BW193" i="2" s="1"/>
  <c r="CA193" i="2" s="1"/>
  <c r="CA192" i="2"/>
  <c r="BY192" i="2"/>
  <c r="BX192" i="2"/>
  <c r="BW192" i="2"/>
  <c r="BV192" i="2"/>
  <c r="BU192" i="2"/>
  <c r="BS192" i="2"/>
  <c r="BJ192" i="2"/>
  <c r="AZ192" i="2"/>
  <c r="AK192" i="2"/>
  <c r="BS191" i="2"/>
  <c r="BY191" i="2" s="1"/>
  <c r="BJ191" i="2"/>
  <c r="BX191" i="2" s="1"/>
  <c r="AZ191" i="2"/>
  <c r="BV191" i="2" s="1"/>
  <c r="AK191" i="2"/>
  <c r="BU191" i="2" s="1"/>
  <c r="BW191" i="2" s="1"/>
  <c r="CA191" i="2" s="1"/>
  <c r="BY190" i="2"/>
  <c r="BS190" i="2"/>
  <c r="BJ190" i="2"/>
  <c r="BX190" i="2" s="1"/>
  <c r="AZ190" i="2"/>
  <c r="BV190" i="2" s="1"/>
  <c r="AK190" i="2"/>
  <c r="BU190" i="2" s="1"/>
  <c r="BV189" i="2"/>
  <c r="BU189" i="2"/>
  <c r="BW189" i="2" s="1"/>
  <c r="BS189" i="2"/>
  <c r="BY189" i="2" s="1"/>
  <c r="BJ189" i="2"/>
  <c r="BX189" i="2" s="1"/>
  <c r="AZ189" i="2"/>
  <c r="AK189" i="2"/>
  <c r="BS188" i="2"/>
  <c r="BY188" i="2" s="1"/>
  <c r="BJ188" i="2"/>
  <c r="BX188" i="2" s="1"/>
  <c r="AZ188" i="2"/>
  <c r="BV188" i="2" s="1"/>
  <c r="AK188" i="2"/>
  <c r="BU188" i="2" s="1"/>
  <c r="BW188" i="2" s="1"/>
  <c r="BY187" i="2"/>
  <c r="BX187" i="2"/>
  <c r="BS187" i="2"/>
  <c r="BJ187" i="2"/>
  <c r="AZ187" i="2"/>
  <c r="BV187" i="2" s="1"/>
  <c r="AK187" i="2"/>
  <c r="BU187" i="2" s="1"/>
  <c r="BW187" i="2" s="1"/>
  <c r="CA187" i="2" s="1"/>
  <c r="BX186" i="2"/>
  <c r="BV186" i="2"/>
  <c r="BU186" i="2"/>
  <c r="BW186" i="2" s="1"/>
  <c r="CA186" i="2" s="1"/>
  <c r="BS186" i="2"/>
  <c r="BY186" i="2" s="1"/>
  <c r="BJ186" i="2"/>
  <c r="AZ186" i="2"/>
  <c r="AK186" i="2"/>
  <c r="BS185" i="2"/>
  <c r="BY185" i="2" s="1"/>
  <c r="BJ185" i="2"/>
  <c r="BX185" i="2" s="1"/>
  <c r="AZ185" i="2"/>
  <c r="BV185" i="2" s="1"/>
  <c r="AK185" i="2"/>
  <c r="BU185" i="2" s="1"/>
  <c r="BW185" i="2" s="1"/>
  <c r="CA185" i="2" s="1"/>
  <c r="BY184" i="2"/>
  <c r="BX184" i="2"/>
  <c r="BV184" i="2"/>
  <c r="BU184" i="2"/>
  <c r="BW184" i="2" s="1"/>
  <c r="CA184" i="2" s="1"/>
  <c r="BS184" i="2"/>
  <c r="BJ184" i="2"/>
  <c r="AZ184" i="2"/>
  <c r="AK184" i="2"/>
  <c r="BV183" i="2"/>
  <c r="BU183" i="2"/>
  <c r="BW183" i="2" s="1"/>
  <c r="CA183" i="2" s="1"/>
  <c r="BS183" i="2"/>
  <c r="BY183" i="2" s="1"/>
  <c r="BJ183" i="2"/>
  <c r="BX183" i="2" s="1"/>
  <c r="AZ183" i="2"/>
  <c r="AK183" i="2"/>
  <c r="BY182" i="2"/>
  <c r="BS182" i="2"/>
  <c r="BJ182" i="2"/>
  <c r="BX182" i="2" s="1"/>
  <c r="AZ182" i="2"/>
  <c r="BV182" i="2" s="1"/>
  <c r="AK182" i="2"/>
  <c r="BU182" i="2" s="1"/>
  <c r="BW182" i="2" s="1"/>
  <c r="CA182" i="2" s="1"/>
  <c r="BY181" i="2"/>
  <c r="BX181" i="2"/>
  <c r="BV181" i="2"/>
  <c r="BU181" i="2"/>
  <c r="BW181" i="2" s="1"/>
  <c r="CA181" i="2" s="1"/>
  <c r="BS181" i="2"/>
  <c r="BJ181" i="2"/>
  <c r="AZ181" i="2"/>
  <c r="AK181" i="2"/>
  <c r="BS180" i="2"/>
  <c r="BY180" i="2" s="1"/>
  <c r="BJ180" i="2"/>
  <c r="BX180" i="2" s="1"/>
  <c r="AZ180" i="2"/>
  <c r="BV180" i="2" s="1"/>
  <c r="AK180" i="2"/>
  <c r="BU180" i="2" s="1"/>
  <c r="BW180" i="2" s="1"/>
  <c r="CA180" i="2" s="1"/>
  <c r="BY179" i="2"/>
  <c r="BX179" i="2"/>
  <c r="BW179" i="2"/>
  <c r="CA179" i="2" s="1"/>
  <c r="BS179" i="2"/>
  <c r="BJ179" i="2"/>
  <c r="AZ179" i="2"/>
  <c r="BV179" i="2" s="1"/>
  <c r="AK179" i="2"/>
  <c r="BU179" i="2" s="1"/>
  <c r="BS178" i="2"/>
  <c r="BY178" i="2" s="1"/>
  <c r="BJ178" i="2"/>
  <c r="BX178" i="2" s="1"/>
  <c r="AZ178" i="2"/>
  <c r="BV178" i="2" s="1"/>
  <c r="AK178" i="2"/>
  <c r="BU178" i="2" s="1"/>
  <c r="BW178" i="2" s="1"/>
  <c r="BS177" i="2"/>
  <c r="BY177" i="2" s="1"/>
  <c r="BJ177" i="2"/>
  <c r="BX177" i="2" s="1"/>
  <c r="AZ177" i="2"/>
  <c r="BV177" i="2" s="1"/>
  <c r="AK177" i="2"/>
  <c r="BU177" i="2" s="1"/>
  <c r="BW177" i="2" s="1"/>
  <c r="CA177" i="2" s="1"/>
  <c r="CA176" i="2"/>
  <c r="BY176" i="2"/>
  <c r="BX176" i="2"/>
  <c r="BW176" i="2"/>
  <c r="BV176" i="2"/>
  <c r="BU176" i="2"/>
  <c r="BS176" i="2"/>
  <c r="BJ176" i="2"/>
  <c r="AZ176" i="2"/>
  <c r="AK176" i="2"/>
  <c r="BS175" i="2"/>
  <c r="BY175" i="2" s="1"/>
  <c r="BJ175" i="2"/>
  <c r="BX175" i="2" s="1"/>
  <c r="AZ175" i="2"/>
  <c r="BV175" i="2" s="1"/>
  <c r="AK175" i="2"/>
  <c r="BU175" i="2" s="1"/>
  <c r="BY174" i="2"/>
  <c r="BS174" i="2"/>
  <c r="BJ174" i="2"/>
  <c r="BX174" i="2" s="1"/>
  <c r="AZ174" i="2"/>
  <c r="BV174" i="2" s="1"/>
  <c r="AK174" i="2"/>
  <c r="BU174" i="2" s="1"/>
  <c r="BV173" i="2"/>
  <c r="BU173" i="2"/>
  <c r="BW173" i="2" s="1"/>
  <c r="BS173" i="2"/>
  <c r="BY173" i="2" s="1"/>
  <c r="BJ173" i="2"/>
  <c r="BX173" i="2" s="1"/>
  <c r="AZ173" i="2"/>
  <c r="AK173" i="2"/>
  <c r="BS172" i="2"/>
  <c r="BY172" i="2" s="1"/>
  <c r="BJ172" i="2"/>
  <c r="BX172" i="2" s="1"/>
  <c r="AZ172" i="2"/>
  <c r="BV172" i="2" s="1"/>
  <c r="AK172" i="2"/>
  <c r="BU172" i="2" s="1"/>
  <c r="BW172" i="2" s="1"/>
  <c r="BY171" i="2"/>
  <c r="BX171" i="2"/>
  <c r="BS171" i="2"/>
  <c r="BJ171" i="2"/>
  <c r="AZ171" i="2"/>
  <c r="BV171" i="2" s="1"/>
  <c r="AK171" i="2"/>
  <c r="BU171" i="2" s="1"/>
  <c r="BW171" i="2" s="1"/>
  <c r="CA171" i="2" s="1"/>
  <c r="BX170" i="2"/>
  <c r="BV170" i="2"/>
  <c r="BU170" i="2"/>
  <c r="BW170" i="2" s="1"/>
  <c r="BS170" i="2"/>
  <c r="BY170" i="2" s="1"/>
  <c r="BJ170" i="2"/>
  <c r="AZ170" i="2"/>
  <c r="AK170" i="2"/>
  <c r="BS169" i="2"/>
  <c r="BY169" i="2" s="1"/>
  <c r="BJ169" i="2"/>
  <c r="BX169" i="2" s="1"/>
  <c r="AZ169" i="2"/>
  <c r="BV169" i="2" s="1"/>
  <c r="AK169" i="2"/>
  <c r="BU169" i="2" s="1"/>
  <c r="BW169" i="2" s="1"/>
  <c r="CA169" i="2" s="1"/>
  <c r="BY168" i="2"/>
  <c r="BX168" i="2"/>
  <c r="BV168" i="2"/>
  <c r="BU168" i="2"/>
  <c r="BW168" i="2" s="1"/>
  <c r="CA168" i="2" s="1"/>
  <c r="BS168" i="2"/>
  <c r="BJ168" i="2"/>
  <c r="AZ168" i="2"/>
  <c r="AK168" i="2"/>
  <c r="BV167" i="2"/>
  <c r="BU167" i="2"/>
  <c r="BW167" i="2" s="1"/>
  <c r="CA167" i="2" s="1"/>
  <c r="BS167" i="2"/>
  <c r="BY167" i="2" s="1"/>
  <c r="BJ167" i="2"/>
  <c r="BX167" i="2" s="1"/>
  <c r="AZ167" i="2"/>
  <c r="AK167" i="2"/>
  <c r="BY166" i="2"/>
  <c r="BS166" i="2"/>
  <c r="BJ166" i="2"/>
  <c r="BX166" i="2" s="1"/>
  <c r="AZ166" i="2"/>
  <c r="BV166" i="2" s="1"/>
  <c r="AK166" i="2"/>
  <c r="BU166" i="2" s="1"/>
  <c r="BW166" i="2" s="1"/>
  <c r="CA166" i="2" s="1"/>
  <c r="BY165" i="2"/>
  <c r="BX165" i="2"/>
  <c r="BV165" i="2"/>
  <c r="BU165" i="2"/>
  <c r="BW165" i="2" s="1"/>
  <c r="CA165" i="2" s="1"/>
  <c r="BS165" i="2"/>
  <c r="BJ165" i="2"/>
  <c r="AZ165" i="2"/>
  <c r="AK165" i="2"/>
  <c r="BS164" i="2"/>
  <c r="BY164" i="2" s="1"/>
  <c r="BJ164" i="2"/>
  <c r="BX164" i="2" s="1"/>
  <c r="AZ164" i="2"/>
  <c r="BV164" i="2" s="1"/>
  <c r="AK164" i="2"/>
  <c r="BU164" i="2" s="1"/>
  <c r="BW164" i="2" s="1"/>
  <c r="CA164" i="2" s="1"/>
  <c r="BY163" i="2"/>
  <c r="BX163" i="2"/>
  <c r="BW163" i="2"/>
  <c r="CA163" i="2" s="1"/>
  <c r="BS163" i="2"/>
  <c r="BJ163" i="2"/>
  <c r="AZ163" i="2"/>
  <c r="BV163" i="2" s="1"/>
  <c r="AK163" i="2"/>
  <c r="BU163" i="2" s="1"/>
  <c r="BS162" i="2"/>
  <c r="BY162" i="2" s="1"/>
  <c r="BJ162" i="2"/>
  <c r="BX162" i="2" s="1"/>
  <c r="AZ162" i="2"/>
  <c r="BV162" i="2" s="1"/>
  <c r="AK162" i="2"/>
  <c r="BU162" i="2" s="1"/>
  <c r="BW162" i="2" s="1"/>
  <c r="CA162" i="2" s="1"/>
  <c r="BS161" i="2"/>
  <c r="BY161" i="2" s="1"/>
  <c r="BJ161" i="2"/>
  <c r="BX161" i="2" s="1"/>
  <c r="AZ161" i="2"/>
  <c r="BV161" i="2" s="1"/>
  <c r="AK161" i="2"/>
  <c r="BU161" i="2" s="1"/>
  <c r="BW161" i="2" s="1"/>
  <c r="CA161" i="2" s="1"/>
  <c r="CA160" i="2"/>
  <c r="BY160" i="2"/>
  <c r="BX160" i="2"/>
  <c r="BW160" i="2"/>
  <c r="BV160" i="2"/>
  <c r="BU160" i="2"/>
  <c r="BS160" i="2"/>
  <c r="BJ160" i="2"/>
  <c r="AZ160" i="2"/>
  <c r="AK160" i="2"/>
  <c r="BS159" i="2"/>
  <c r="BY159" i="2" s="1"/>
  <c r="BJ159" i="2"/>
  <c r="BX159" i="2" s="1"/>
  <c r="AZ159" i="2"/>
  <c r="BV159" i="2" s="1"/>
  <c r="AK159" i="2"/>
  <c r="BU159" i="2" s="1"/>
  <c r="BY158" i="2"/>
  <c r="BS158" i="2"/>
  <c r="BJ158" i="2"/>
  <c r="BX158" i="2" s="1"/>
  <c r="AZ158" i="2"/>
  <c r="BV158" i="2" s="1"/>
  <c r="AK158" i="2"/>
  <c r="BU158" i="2" s="1"/>
  <c r="BV157" i="2"/>
  <c r="BU157" i="2"/>
  <c r="BW157" i="2" s="1"/>
  <c r="BS157" i="2"/>
  <c r="BY157" i="2" s="1"/>
  <c r="BJ157" i="2"/>
  <c r="BX157" i="2" s="1"/>
  <c r="AZ157" i="2"/>
  <c r="AK157" i="2"/>
  <c r="BS156" i="2"/>
  <c r="BY156" i="2" s="1"/>
  <c r="BJ156" i="2"/>
  <c r="BX156" i="2" s="1"/>
  <c r="AZ156" i="2"/>
  <c r="BV156" i="2" s="1"/>
  <c r="AK156" i="2"/>
  <c r="BU156" i="2" s="1"/>
  <c r="BW156" i="2" s="1"/>
  <c r="BY155" i="2"/>
  <c r="BX155" i="2"/>
  <c r="BS155" i="2"/>
  <c r="BJ155" i="2"/>
  <c r="AZ155" i="2"/>
  <c r="BV155" i="2" s="1"/>
  <c r="AK155" i="2"/>
  <c r="BU155" i="2" s="1"/>
  <c r="BW155" i="2" s="1"/>
  <c r="CA155" i="2" s="1"/>
  <c r="BX154" i="2"/>
  <c r="BV154" i="2"/>
  <c r="BU154" i="2"/>
  <c r="BW154" i="2" s="1"/>
  <c r="BS154" i="2"/>
  <c r="BY154" i="2" s="1"/>
  <c r="BJ154" i="2"/>
  <c r="AZ154" i="2"/>
  <c r="AK154" i="2"/>
  <c r="BS153" i="2"/>
  <c r="BY153" i="2" s="1"/>
  <c r="BJ153" i="2"/>
  <c r="BX153" i="2" s="1"/>
  <c r="AZ153" i="2"/>
  <c r="BV153" i="2" s="1"/>
  <c r="AK153" i="2"/>
  <c r="BU153" i="2" s="1"/>
  <c r="BW153" i="2" s="1"/>
  <c r="CA153" i="2" s="1"/>
  <c r="BY152" i="2"/>
  <c r="BX152" i="2"/>
  <c r="BV152" i="2"/>
  <c r="BU152" i="2"/>
  <c r="BW152" i="2" s="1"/>
  <c r="CA152" i="2" s="1"/>
  <c r="BS152" i="2"/>
  <c r="BJ152" i="2"/>
  <c r="AZ152" i="2"/>
  <c r="AK152" i="2"/>
  <c r="BV151" i="2"/>
  <c r="BU151" i="2"/>
  <c r="BW151" i="2" s="1"/>
  <c r="CA151" i="2" s="1"/>
  <c r="BS151" i="2"/>
  <c r="BY151" i="2" s="1"/>
  <c r="BJ151" i="2"/>
  <c r="BX151" i="2" s="1"/>
  <c r="AZ151" i="2"/>
  <c r="AK151" i="2"/>
  <c r="BY150" i="2"/>
  <c r="BS150" i="2"/>
  <c r="BJ150" i="2"/>
  <c r="BX150" i="2" s="1"/>
  <c r="AZ150" i="2"/>
  <c r="BV150" i="2" s="1"/>
  <c r="AK150" i="2"/>
  <c r="BU150" i="2" s="1"/>
  <c r="BW150" i="2" s="1"/>
  <c r="CA150" i="2" s="1"/>
  <c r="BY149" i="2"/>
  <c r="BX149" i="2"/>
  <c r="BV149" i="2"/>
  <c r="BU149" i="2"/>
  <c r="BW149" i="2" s="1"/>
  <c r="CA149" i="2" s="1"/>
  <c r="BS149" i="2"/>
  <c r="BJ149" i="2"/>
  <c r="AZ149" i="2"/>
  <c r="AK149" i="2"/>
  <c r="BS148" i="2"/>
  <c r="BY148" i="2" s="1"/>
  <c r="BJ148" i="2"/>
  <c r="BX148" i="2" s="1"/>
  <c r="AZ148" i="2"/>
  <c r="BV148" i="2" s="1"/>
  <c r="AK148" i="2"/>
  <c r="BU148" i="2" s="1"/>
  <c r="BW148" i="2" s="1"/>
  <c r="CA148" i="2" s="1"/>
  <c r="BY147" i="2"/>
  <c r="BX147" i="2"/>
  <c r="BW147" i="2"/>
  <c r="CA147" i="2" s="1"/>
  <c r="BS147" i="2"/>
  <c r="BJ147" i="2"/>
  <c r="AZ147" i="2"/>
  <c r="BV147" i="2" s="1"/>
  <c r="AK147" i="2"/>
  <c r="BU147" i="2" s="1"/>
  <c r="BS146" i="2"/>
  <c r="BY146" i="2" s="1"/>
  <c r="BJ146" i="2"/>
  <c r="BX146" i="2" s="1"/>
  <c r="AZ146" i="2"/>
  <c r="BV146" i="2" s="1"/>
  <c r="AK146" i="2"/>
  <c r="BU146" i="2" s="1"/>
  <c r="BW146" i="2" s="1"/>
  <c r="CA146" i="2" s="1"/>
  <c r="BS145" i="2"/>
  <c r="BY145" i="2" s="1"/>
  <c r="BJ145" i="2"/>
  <c r="BX145" i="2" s="1"/>
  <c r="AZ145" i="2"/>
  <c r="BV145" i="2" s="1"/>
  <c r="AK145" i="2"/>
  <c r="BU145" i="2" s="1"/>
  <c r="BW145" i="2" s="1"/>
  <c r="CA145" i="2" s="1"/>
  <c r="CA144" i="2"/>
  <c r="BY144" i="2"/>
  <c r="BX144" i="2"/>
  <c r="BW144" i="2"/>
  <c r="BV144" i="2"/>
  <c r="BU144" i="2"/>
  <c r="BS144" i="2"/>
  <c r="BJ144" i="2"/>
  <c r="AZ144" i="2"/>
  <c r="AK144" i="2"/>
  <c r="BS143" i="2"/>
  <c r="BY143" i="2" s="1"/>
  <c r="BJ143" i="2"/>
  <c r="BX143" i="2" s="1"/>
  <c r="AZ143" i="2"/>
  <c r="BV143" i="2" s="1"/>
  <c r="AK143" i="2"/>
  <c r="BU143" i="2" s="1"/>
  <c r="BW143" i="2" s="1"/>
  <c r="CA143" i="2" s="1"/>
  <c r="BY142" i="2"/>
  <c r="BS142" i="2"/>
  <c r="BJ142" i="2"/>
  <c r="BX142" i="2" s="1"/>
  <c r="AZ142" i="2"/>
  <c r="BV142" i="2" s="1"/>
  <c r="AK142" i="2"/>
  <c r="BU142" i="2" s="1"/>
  <c r="BV141" i="2"/>
  <c r="BU141" i="2"/>
  <c r="BW141" i="2" s="1"/>
  <c r="BS141" i="2"/>
  <c r="BY141" i="2" s="1"/>
  <c r="BJ141" i="2"/>
  <c r="BX141" i="2" s="1"/>
  <c r="AZ141" i="2"/>
  <c r="AK141" i="2"/>
  <c r="BS140" i="2"/>
  <c r="BY140" i="2" s="1"/>
  <c r="BJ140" i="2"/>
  <c r="BX140" i="2" s="1"/>
  <c r="AZ140" i="2"/>
  <c r="BV140" i="2" s="1"/>
  <c r="AK140" i="2"/>
  <c r="BU140" i="2" s="1"/>
  <c r="BW140" i="2" s="1"/>
  <c r="BY139" i="2"/>
  <c r="BX139" i="2"/>
  <c r="BS139" i="2"/>
  <c r="BJ139" i="2"/>
  <c r="AZ139" i="2"/>
  <c r="BV139" i="2" s="1"/>
  <c r="AK139" i="2"/>
  <c r="BU139" i="2" s="1"/>
  <c r="BW139" i="2" s="1"/>
  <c r="CA139" i="2" s="1"/>
  <c r="BX138" i="2"/>
  <c r="BV138" i="2"/>
  <c r="BU138" i="2"/>
  <c r="BW138" i="2" s="1"/>
  <c r="CA138" i="2" s="1"/>
  <c r="BS138" i="2"/>
  <c r="BY138" i="2" s="1"/>
  <c r="BJ138" i="2"/>
  <c r="AZ138" i="2"/>
  <c r="AK138" i="2"/>
  <c r="BS137" i="2"/>
  <c r="BY137" i="2" s="1"/>
  <c r="BJ137" i="2"/>
  <c r="BX137" i="2" s="1"/>
  <c r="AZ137" i="2"/>
  <c r="BV137" i="2" s="1"/>
  <c r="AK137" i="2"/>
  <c r="BU137" i="2" s="1"/>
  <c r="BW137" i="2" s="1"/>
  <c r="CA137" i="2" s="1"/>
  <c r="BY136" i="2"/>
  <c r="BX136" i="2"/>
  <c r="BV136" i="2"/>
  <c r="BU136" i="2"/>
  <c r="BW136" i="2" s="1"/>
  <c r="CA136" i="2" s="1"/>
  <c r="BS136" i="2"/>
  <c r="BJ136" i="2"/>
  <c r="AZ136" i="2"/>
  <c r="AK136" i="2"/>
  <c r="BV135" i="2"/>
  <c r="BU135" i="2"/>
  <c r="BW135" i="2" s="1"/>
  <c r="CA135" i="2" s="1"/>
  <c r="BS135" i="2"/>
  <c r="BY135" i="2" s="1"/>
  <c r="BJ135" i="2"/>
  <c r="BX135" i="2" s="1"/>
  <c r="AZ135" i="2"/>
  <c r="AK135" i="2"/>
  <c r="BY134" i="2"/>
  <c r="BS134" i="2"/>
  <c r="BJ134" i="2"/>
  <c r="BX134" i="2" s="1"/>
  <c r="AZ134" i="2"/>
  <c r="BV134" i="2" s="1"/>
  <c r="AK134" i="2"/>
  <c r="BU134" i="2" s="1"/>
  <c r="BW134" i="2" s="1"/>
  <c r="CA134" i="2" s="1"/>
  <c r="BY133" i="2"/>
  <c r="BX133" i="2"/>
  <c r="BV133" i="2"/>
  <c r="BU133" i="2"/>
  <c r="BW133" i="2" s="1"/>
  <c r="BS133" i="2"/>
  <c r="BJ133" i="2"/>
  <c r="AZ133" i="2"/>
  <c r="AK133" i="2"/>
  <c r="BS132" i="2"/>
  <c r="BY132" i="2" s="1"/>
  <c r="BJ132" i="2"/>
  <c r="BX132" i="2" s="1"/>
  <c r="AZ132" i="2"/>
  <c r="BV132" i="2" s="1"/>
  <c r="AK132" i="2"/>
  <c r="BU132" i="2" s="1"/>
  <c r="BW132" i="2" s="1"/>
  <c r="CA132" i="2" s="1"/>
  <c r="BY131" i="2"/>
  <c r="BX131" i="2"/>
  <c r="BW131" i="2"/>
  <c r="BU131" i="2"/>
  <c r="BS131" i="2"/>
  <c r="BJ131" i="2"/>
  <c r="AZ131" i="2"/>
  <c r="BV131" i="2" s="1"/>
  <c r="AK131" i="2"/>
  <c r="BS130" i="2"/>
  <c r="BY130" i="2" s="1"/>
  <c r="BJ130" i="2"/>
  <c r="BX130" i="2" s="1"/>
  <c r="AZ130" i="2"/>
  <c r="BV130" i="2" s="1"/>
  <c r="AK130" i="2"/>
  <c r="BU130" i="2" s="1"/>
  <c r="BS129" i="2"/>
  <c r="BY129" i="2" s="1"/>
  <c r="BJ129" i="2"/>
  <c r="BX129" i="2" s="1"/>
  <c r="AZ129" i="2"/>
  <c r="BV129" i="2" s="1"/>
  <c r="AK129" i="2"/>
  <c r="BU129" i="2" s="1"/>
  <c r="BW129" i="2" s="1"/>
  <c r="CA129" i="2" s="1"/>
  <c r="BY128" i="2"/>
  <c r="BX128" i="2"/>
  <c r="BV128" i="2"/>
  <c r="BU128" i="2"/>
  <c r="BW128" i="2" s="1"/>
  <c r="CA128" i="2" s="1"/>
  <c r="BS128" i="2"/>
  <c r="BJ128" i="2"/>
  <c r="AZ128" i="2"/>
  <c r="AK128" i="2"/>
  <c r="BS127" i="2"/>
  <c r="BY127" i="2" s="1"/>
  <c r="BJ127" i="2"/>
  <c r="BX127" i="2" s="1"/>
  <c r="AZ127" i="2"/>
  <c r="BV127" i="2" s="1"/>
  <c r="AK127" i="2"/>
  <c r="BU127" i="2" s="1"/>
  <c r="BY126" i="2"/>
  <c r="CA126" i="2" s="1"/>
  <c r="BS126" i="2"/>
  <c r="BJ126" i="2"/>
  <c r="BX126" i="2" s="1"/>
  <c r="AZ126" i="2"/>
  <c r="BV126" i="2" s="1"/>
  <c r="AK126" i="2"/>
  <c r="BU126" i="2" s="1"/>
  <c r="BW126" i="2" s="1"/>
  <c r="BV125" i="2"/>
  <c r="BU125" i="2"/>
  <c r="BW125" i="2" s="1"/>
  <c r="BS125" i="2"/>
  <c r="BY125" i="2" s="1"/>
  <c r="BJ125" i="2"/>
  <c r="BX125" i="2" s="1"/>
  <c r="AZ125" i="2"/>
  <c r="AK125" i="2"/>
  <c r="BS124" i="2"/>
  <c r="BY124" i="2" s="1"/>
  <c r="BJ124" i="2"/>
  <c r="BX124" i="2" s="1"/>
  <c r="AZ124" i="2"/>
  <c r="BV124" i="2" s="1"/>
  <c r="AK124" i="2"/>
  <c r="BU124" i="2" s="1"/>
  <c r="BY123" i="2"/>
  <c r="BX123" i="2"/>
  <c r="BU123" i="2"/>
  <c r="BS123" i="2"/>
  <c r="BJ123" i="2"/>
  <c r="AZ123" i="2"/>
  <c r="BV123" i="2" s="1"/>
  <c r="BW123" i="2" s="1"/>
  <c r="CA123" i="2" s="1"/>
  <c r="AK123" i="2"/>
  <c r="BX122" i="2"/>
  <c r="BV122" i="2"/>
  <c r="BW122" i="2" s="1"/>
  <c r="CA122" i="2" s="1"/>
  <c r="BU122" i="2"/>
  <c r="BS122" i="2"/>
  <c r="BY122" i="2" s="1"/>
  <c r="BJ122" i="2"/>
  <c r="AZ122" i="2"/>
  <c r="AK122" i="2"/>
  <c r="BS121" i="2"/>
  <c r="BY121" i="2" s="1"/>
  <c r="BJ121" i="2"/>
  <c r="BX121" i="2" s="1"/>
  <c r="AZ121" i="2"/>
  <c r="BV121" i="2" s="1"/>
  <c r="AK121" i="2"/>
  <c r="BU121" i="2" s="1"/>
  <c r="BW121" i="2" s="1"/>
  <c r="CA121" i="2" s="1"/>
  <c r="BY120" i="2"/>
  <c r="BX120" i="2"/>
  <c r="BV120" i="2"/>
  <c r="BU120" i="2"/>
  <c r="BW120" i="2" s="1"/>
  <c r="CA120" i="2" s="1"/>
  <c r="BS120" i="2"/>
  <c r="BJ120" i="2"/>
  <c r="AZ120" i="2"/>
  <c r="AK120" i="2"/>
  <c r="BS119" i="2"/>
  <c r="BY119" i="2" s="1"/>
  <c r="BJ119" i="2"/>
  <c r="BX119" i="2" s="1"/>
  <c r="AZ119" i="2"/>
  <c r="BV119" i="2" s="1"/>
  <c r="AK119" i="2"/>
  <c r="BU119" i="2" s="1"/>
  <c r="BY118" i="2"/>
  <c r="BS118" i="2"/>
  <c r="BJ118" i="2"/>
  <c r="BX118" i="2" s="1"/>
  <c r="AZ118" i="2"/>
  <c r="BV118" i="2" s="1"/>
  <c r="AK118" i="2"/>
  <c r="BU118" i="2" s="1"/>
  <c r="BW118" i="2" s="1"/>
  <c r="CA118" i="2" s="1"/>
  <c r="CA117" i="2"/>
  <c r="BY117" i="2"/>
  <c r="BX117" i="2"/>
  <c r="BW117" i="2"/>
  <c r="BV117" i="2"/>
  <c r="BU117" i="2"/>
  <c r="BS117" i="2"/>
  <c r="BJ117" i="2"/>
  <c r="AZ117" i="2"/>
  <c r="AK117" i="2"/>
  <c r="BS116" i="2"/>
  <c r="BY116" i="2" s="1"/>
  <c r="BJ116" i="2"/>
  <c r="BX116" i="2" s="1"/>
  <c r="AZ116" i="2"/>
  <c r="BV116" i="2" s="1"/>
  <c r="AK116" i="2"/>
  <c r="BU116" i="2" s="1"/>
  <c r="BY115" i="2"/>
  <c r="CA115" i="2" s="1"/>
  <c r="BX115" i="2"/>
  <c r="BW115" i="2"/>
  <c r="BV115" i="2"/>
  <c r="BU115" i="2"/>
  <c r="BS115" i="2"/>
  <c r="BJ115" i="2"/>
  <c r="AZ115" i="2"/>
  <c r="AK115" i="2"/>
  <c r="BU114" i="2"/>
  <c r="BS114" i="2"/>
  <c r="BY114" i="2" s="1"/>
  <c r="BJ114" i="2"/>
  <c r="BX114" i="2" s="1"/>
  <c r="AZ114" i="2"/>
  <c r="BV114" i="2" s="1"/>
  <c r="AK114" i="2"/>
  <c r="BS113" i="2"/>
  <c r="BY113" i="2" s="1"/>
  <c r="BJ113" i="2"/>
  <c r="BX113" i="2" s="1"/>
  <c r="AZ113" i="2"/>
  <c r="BV113" i="2" s="1"/>
  <c r="AK113" i="2"/>
  <c r="BU113" i="2" s="1"/>
  <c r="BY112" i="2"/>
  <c r="BX112" i="2"/>
  <c r="BV112" i="2"/>
  <c r="BU112" i="2"/>
  <c r="BW112" i="2" s="1"/>
  <c r="CA112" i="2" s="1"/>
  <c r="BS112" i="2"/>
  <c r="BJ112" i="2"/>
  <c r="AZ112" i="2"/>
  <c r="AK112" i="2"/>
  <c r="BX111" i="2"/>
  <c r="BV111" i="2"/>
  <c r="BU111" i="2"/>
  <c r="BW111" i="2" s="1"/>
  <c r="BS111" i="2"/>
  <c r="BY111" i="2" s="1"/>
  <c r="BJ111" i="2"/>
  <c r="AZ111" i="2"/>
  <c r="AK111" i="2"/>
  <c r="BY110" i="2"/>
  <c r="BX110" i="2"/>
  <c r="BS110" i="2"/>
  <c r="BJ110" i="2"/>
  <c r="AZ110" i="2"/>
  <c r="BV110" i="2" s="1"/>
  <c r="AK110" i="2"/>
  <c r="BU110" i="2" s="1"/>
  <c r="BW110" i="2" s="1"/>
  <c r="CA110" i="2" s="1"/>
  <c r="BY109" i="2"/>
  <c r="BX109" i="2"/>
  <c r="BV109" i="2"/>
  <c r="BU109" i="2"/>
  <c r="BW109" i="2" s="1"/>
  <c r="CA109" i="2" s="1"/>
  <c r="BS109" i="2"/>
  <c r="BJ109" i="2"/>
  <c r="AZ109" i="2"/>
  <c r="AK109" i="2"/>
  <c r="BS108" i="2"/>
  <c r="BY108" i="2" s="1"/>
  <c r="BJ108" i="2"/>
  <c r="BX108" i="2" s="1"/>
  <c r="AZ108" i="2"/>
  <c r="BV108" i="2" s="1"/>
  <c r="AK108" i="2"/>
  <c r="BU108" i="2" s="1"/>
  <c r="BY107" i="2"/>
  <c r="BX107" i="2"/>
  <c r="BW107" i="2"/>
  <c r="BS107" i="2"/>
  <c r="BJ107" i="2"/>
  <c r="AZ107" i="2"/>
  <c r="BV107" i="2" s="1"/>
  <c r="AK107" i="2"/>
  <c r="BU107" i="2" s="1"/>
  <c r="BS106" i="2"/>
  <c r="BY106" i="2" s="1"/>
  <c r="BJ106" i="2"/>
  <c r="BX106" i="2" s="1"/>
  <c r="AZ106" i="2"/>
  <c r="BV106" i="2" s="1"/>
  <c r="AK106" i="2"/>
  <c r="BU106" i="2" s="1"/>
  <c r="BS105" i="2"/>
  <c r="BY105" i="2" s="1"/>
  <c r="BJ105" i="2"/>
  <c r="BX105" i="2" s="1"/>
  <c r="AZ105" i="2"/>
  <c r="BV105" i="2" s="1"/>
  <c r="AK105" i="2"/>
  <c r="BU105" i="2" s="1"/>
  <c r="BY104" i="2"/>
  <c r="BX104" i="2"/>
  <c r="BV104" i="2"/>
  <c r="BU104" i="2"/>
  <c r="BW104" i="2" s="1"/>
  <c r="CA104" i="2" s="1"/>
  <c r="BS104" i="2"/>
  <c r="BJ104" i="2"/>
  <c r="AZ104" i="2"/>
  <c r="AK104" i="2"/>
  <c r="BV103" i="2"/>
  <c r="BU103" i="2"/>
  <c r="BW103" i="2" s="1"/>
  <c r="BS103" i="2"/>
  <c r="BY103" i="2" s="1"/>
  <c r="BJ103" i="2"/>
  <c r="BX103" i="2" s="1"/>
  <c r="AZ103" i="2"/>
  <c r="AK103" i="2"/>
  <c r="CA102" i="2"/>
  <c r="BY102" i="2"/>
  <c r="BX102" i="2"/>
  <c r="BS102" i="2"/>
  <c r="BJ102" i="2"/>
  <c r="AZ102" i="2"/>
  <c r="BV102" i="2" s="1"/>
  <c r="AK102" i="2"/>
  <c r="BU102" i="2" s="1"/>
  <c r="BW102" i="2" s="1"/>
  <c r="BX101" i="2"/>
  <c r="BV101" i="2"/>
  <c r="BU101" i="2"/>
  <c r="BW101" i="2" s="1"/>
  <c r="BS101" i="2"/>
  <c r="BY101" i="2" s="1"/>
  <c r="BJ101" i="2"/>
  <c r="AZ101" i="2"/>
  <c r="AK101" i="2"/>
  <c r="BS100" i="2"/>
  <c r="BY100" i="2" s="1"/>
  <c r="BJ100" i="2"/>
  <c r="BX100" i="2" s="1"/>
  <c r="AZ100" i="2"/>
  <c r="BV100" i="2" s="1"/>
  <c r="AK100" i="2"/>
  <c r="BU100" i="2" s="1"/>
  <c r="BY99" i="2"/>
  <c r="BX99" i="2"/>
  <c r="BW99" i="2"/>
  <c r="CA99" i="2" s="1"/>
  <c r="BV99" i="2"/>
  <c r="BU99" i="2"/>
  <c r="BS99" i="2"/>
  <c r="BJ99" i="2"/>
  <c r="AZ99" i="2"/>
  <c r="AK99" i="2"/>
  <c r="BS98" i="2"/>
  <c r="BY98" i="2" s="1"/>
  <c r="BJ98" i="2"/>
  <c r="BX98" i="2" s="1"/>
  <c r="AZ98" i="2"/>
  <c r="BV98" i="2" s="1"/>
  <c r="AK98" i="2"/>
  <c r="BU98" i="2" s="1"/>
  <c r="BW98" i="2" s="1"/>
  <c r="CA98" i="2" s="1"/>
  <c r="BS97" i="2"/>
  <c r="BY97" i="2" s="1"/>
  <c r="BJ97" i="2"/>
  <c r="BX97" i="2" s="1"/>
  <c r="AZ97" i="2"/>
  <c r="BV97" i="2" s="1"/>
  <c r="AK97" i="2"/>
  <c r="BU97" i="2" s="1"/>
  <c r="BW97" i="2" s="1"/>
  <c r="CA97" i="2" s="1"/>
  <c r="CA96" i="2"/>
  <c r="BY96" i="2"/>
  <c r="BX96" i="2"/>
  <c r="BW96" i="2"/>
  <c r="BV96" i="2"/>
  <c r="BU96" i="2"/>
  <c r="BS96" i="2"/>
  <c r="BJ96" i="2"/>
  <c r="AZ96" i="2"/>
  <c r="AK96" i="2"/>
  <c r="BS95" i="2"/>
  <c r="BY95" i="2" s="1"/>
  <c r="BJ95" i="2"/>
  <c r="BX95" i="2" s="1"/>
  <c r="AZ95" i="2"/>
  <c r="BV95" i="2" s="1"/>
  <c r="AK95" i="2"/>
  <c r="BU95" i="2" s="1"/>
  <c r="BW95" i="2" s="1"/>
  <c r="CA95" i="2" s="1"/>
  <c r="BY94" i="2"/>
  <c r="CA94" i="2" s="1"/>
  <c r="BX94" i="2"/>
  <c r="BS94" i="2"/>
  <c r="BJ94" i="2"/>
  <c r="AZ94" i="2"/>
  <c r="BV94" i="2" s="1"/>
  <c r="AK94" i="2"/>
  <c r="BU94" i="2" s="1"/>
  <c r="BW94" i="2" s="1"/>
  <c r="BV93" i="2"/>
  <c r="BU93" i="2"/>
  <c r="BW93" i="2" s="1"/>
  <c r="BS93" i="2"/>
  <c r="BY93" i="2" s="1"/>
  <c r="BJ93" i="2"/>
  <c r="BX93" i="2" s="1"/>
  <c r="AZ93" i="2"/>
  <c r="AK93" i="2"/>
  <c r="BV92" i="2"/>
  <c r="BS92" i="2"/>
  <c r="BY92" i="2" s="1"/>
  <c r="BJ92" i="2"/>
  <c r="BX92" i="2" s="1"/>
  <c r="AZ92" i="2"/>
  <c r="AK92" i="2"/>
  <c r="BU92" i="2" s="1"/>
  <c r="BY91" i="2"/>
  <c r="BX91" i="2"/>
  <c r="BW91" i="2"/>
  <c r="CA91" i="2" s="1"/>
  <c r="BV91" i="2"/>
  <c r="BU91" i="2"/>
  <c r="BS91" i="2"/>
  <c r="BJ91" i="2"/>
  <c r="AZ91" i="2"/>
  <c r="AK91" i="2"/>
  <c r="BX90" i="2"/>
  <c r="BS90" i="2"/>
  <c r="BY90" i="2" s="1"/>
  <c r="BJ90" i="2"/>
  <c r="AZ90" i="2"/>
  <c r="BV90" i="2" s="1"/>
  <c r="AK90" i="2"/>
  <c r="BU90" i="2" s="1"/>
  <c r="BW90" i="2" s="1"/>
  <c r="CA90" i="2" s="1"/>
  <c r="BS89" i="2"/>
  <c r="BY89" i="2" s="1"/>
  <c r="BJ89" i="2"/>
  <c r="BX89" i="2" s="1"/>
  <c r="AZ89" i="2"/>
  <c r="BV89" i="2" s="1"/>
  <c r="AK89" i="2"/>
  <c r="BU89" i="2" s="1"/>
  <c r="BW89" i="2" s="1"/>
  <c r="CA89" i="2" s="1"/>
  <c r="BY88" i="2"/>
  <c r="BX88" i="2"/>
  <c r="CA88" i="2" s="1"/>
  <c r="BV88" i="2"/>
  <c r="BU88" i="2"/>
  <c r="BW88" i="2" s="1"/>
  <c r="BS88" i="2"/>
  <c r="BJ88" i="2"/>
  <c r="AZ88" i="2"/>
  <c r="AK88" i="2"/>
  <c r="BS87" i="2"/>
  <c r="BY87" i="2" s="1"/>
  <c r="BJ87" i="2"/>
  <c r="BX87" i="2" s="1"/>
  <c r="AZ87" i="2"/>
  <c r="BV87" i="2" s="1"/>
  <c r="AK87" i="2"/>
  <c r="BU87" i="2" s="1"/>
  <c r="BW87" i="2" s="1"/>
  <c r="CA87" i="2" s="1"/>
  <c r="BY86" i="2"/>
  <c r="CA86" i="2" s="1"/>
  <c r="BX86" i="2"/>
  <c r="BU86" i="2"/>
  <c r="BW86" i="2" s="1"/>
  <c r="BS86" i="2"/>
  <c r="BJ86" i="2"/>
  <c r="AZ86" i="2"/>
  <c r="BV86" i="2" s="1"/>
  <c r="AK86" i="2"/>
  <c r="BV85" i="2"/>
  <c r="BU85" i="2"/>
  <c r="BW85" i="2" s="1"/>
  <c r="BS85" i="2"/>
  <c r="BY85" i="2" s="1"/>
  <c r="BJ85" i="2"/>
  <c r="BX85" i="2" s="1"/>
  <c r="AZ85" i="2"/>
  <c r="AK85" i="2"/>
  <c r="BV84" i="2"/>
  <c r="BS84" i="2"/>
  <c r="BY84" i="2" s="1"/>
  <c r="BJ84" i="2"/>
  <c r="BX84" i="2" s="1"/>
  <c r="AZ84" i="2"/>
  <c r="AK84" i="2"/>
  <c r="BU84" i="2" s="1"/>
  <c r="BY83" i="2"/>
  <c r="BX83" i="2"/>
  <c r="BW83" i="2"/>
  <c r="CA83" i="2" s="1"/>
  <c r="BV83" i="2"/>
  <c r="BU83" i="2"/>
  <c r="BS83" i="2"/>
  <c r="BJ83" i="2"/>
  <c r="AZ83" i="2"/>
  <c r="AK83" i="2"/>
  <c r="BX82" i="2"/>
  <c r="BV82" i="2"/>
  <c r="BS82" i="2"/>
  <c r="BY82" i="2" s="1"/>
  <c r="BJ82" i="2"/>
  <c r="AZ82" i="2"/>
  <c r="AK82" i="2"/>
  <c r="BU82" i="2" s="1"/>
  <c r="BW82" i="2" s="1"/>
  <c r="CA82" i="2" s="1"/>
  <c r="BS81" i="2"/>
  <c r="BY81" i="2" s="1"/>
  <c r="BJ81" i="2"/>
  <c r="BX81" i="2" s="1"/>
  <c r="AZ81" i="2"/>
  <c r="BV81" i="2" s="1"/>
  <c r="AK81" i="2"/>
  <c r="BU81" i="2" s="1"/>
  <c r="BW81" i="2" s="1"/>
  <c r="CA81" i="2" s="1"/>
  <c r="BY80" i="2"/>
  <c r="BX80" i="2"/>
  <c r="BW80" i="2"/>
  <c r="CA80" i="2" s="1"/>
  <c r="BV80" i="2"/>
  <c r="BU80" i="2"/>
  <c r="BS80" i="2"/>
  <c r="BJ80" i="2"/>
  <c r="AZ80" i="2"/>
  <c r="AK80" i="2"/>
  <c r="BS79" i="2"/>
  <c r="BY79" i="2" s="1"/>
  <c r="BJ79" i="2"/>
  <c r="BX79" i="2" s="1"/>
  <c r="AZ79" i="2"/>
  <c r="BV79" i="2" s="1"/>
  <c r="AK79" i="2"/>
  <c r="BU79" i="2" s="1"/>
  <c r="BY78" i="2"/>
  <c r="CA78" i="2" s="1"/>
  <c r="BU78" i="2"/>
  <c r="BW78" i="2" s="1"/>
  <c r="BS78" i="2"/>
  <c r="BJ78" i="2"/>
  <c r="BX78" i="2" s="1"/>
  <c r="AZ78" i="2"/>
  <c r="BV78" i="2" s="1"/>
  <c r="AK78" i="2"/>
  <c r="BV77" i="2"/>
  <c r="BU77" i="2"/>
  <c r="BW77" i="2" s="1"/>
  <c r="BS77" i="2"/>
  <c r="BY77" i="2" s="1"/>
  <c r="BJ77" i="2"/>
  <c r="BX77" i="2" s="1"/>
  <c r="AZ77" i="2"/>
  <c r="AK77" i="2"/>
  <c r="BV76" i="2"/>
  <c r="BS76" i="2"/>
  <c r="BY76" i="2" s="1"/>
  <c r="BJ76" i="2"/>
  <c r="BX76" i="2" s="1"/>
  <c r="AZ76" i="2"/>
  <c r="AK76" i="2"/>
  <c r="BU76" i="2" s="1"/>
  <c r="BY75" i="2"/>
  <c r="BX75" i="2"/>
  <c r="BU75" i="2"/>
  <c r="BS75" i="2"/>
  <c r="BJ75" i="2"/>
  <c r="AZ75" i="2"/>
  <c r="BV75" i="2" s="1"/>
  <c r="BW75" i="2" s="1"/>
  <c r="CA75" i="2" s="1"/>
  <c r="AK75" i="2"/>
  <c r="BX74" i="2"/>
  <c r="BV74" i="2"/>
  <c r="BW74" i="2" s="1"/>
  <c r="CA74" i="2" s="1"/>
  <c r="BU74" i="2"/>
  <c r="BS74" i="2"/>
  <c r="BY74" i="2" s="1"/>
  <c r="BJ74" i="2"/>
  <c r="AZ74" i="2"/>
  <c r="AK74" i="2"/>
  <c r="BS73" i="2"/>
  <c r="BY73" i="2" s="1"/>
  <c r="BJ73" i="2"/>
  <c r="BX73" i="2" s="1"/>
  <c r="AZ73" i="2"/>
  <c r="BV73" i="2" s="1"/>
  <c r="AK73" i="2"/>
  <c r="BU73" i="2" s="1"/>
  <c r="BW73" i="2" s="1"/>
  <c r="CA73" i="2" s="1"/>
  <c r="BY72" i="2"/>
  <c r="BX72" i="2"/>
  <c r="BV72" i="2"/>
  <c r="BU72" i="2"/>
  <c r="BS72" i="2"/>
  <c r="BJ72" i="2"/>
  <c r="AZ72" i="2"/>
  <c r="AK72" i="2"/>
  <c r="CC71" i="2"/>
  <c r="CJ71" i="2" s="1"/>
  <c r="BX71" i="2"/>
  <c r="CI71" i="2" s="1"/>
  <c r="BO71" i="2"/>
  <c r="CH71" i="2" s="1"/>
  <c r="BE71" i="2"/>
  <c r="CF71" i="2" s="1"/>
  <c r="AP71" i="2"/>
  <c r="CE71" i="2" s="1"/>
  <c r="CG71" i="2" s="1"/>
  <c r="CE70" i="2"/>
  <c r="CG70" i="2" s="1"/>
  <c r="CC70" i="2"/>
  <c r="CJ70" i="2" s="1"/>
  <c r="BX70" i="2"/>
  <c r="CI70" i="2" s="1"/>
  <c r="BO70" i="2"/>
  <c r="CH70" i="2" s="1"/>
  <c r="BE70" i="2"/>
  <c r="CF70" i="2" s="1"/>
  <c r="AP70" i="2"/>
  <c r="CK69" i="2"/>
  <c r="CJ69" i="2"/>
  <c r="CI69" i="2"/>
  <c r="CH69" i="2"/>
  <c r="CC69" i="2"/>
  <c r="BX69" i="2"/>
  <c r="BO69" i="2"/>
  <c r="BE69" i="2"/>
  <c r="CF69" i="2" s="1"/>
  <c r="AP69" i="2"/>
  <c r="CE69" i="2" s="1"/>
  <c r="CG69" i="2" s="1"/>
  <c r="CI68" i="2"/>
  <c r="CH68" i="2"/>
  <c r="CG68" i="2"/>
  <c r="CF68" i="2"/>
  <c r="CE68" i="2"/>
  <c r="CC68" i="2"/>
  <c r="CJ68" i="2" s="1"/>
  <c r="BX68" i="2"/>
  <c r="BO68" i="2"/>
  <c r="BE68" i="2"/>
  <c r="AP68" i="2"/>
  <c r="CC67" i="2"/>
  <c r="CJ67" i="2" s="1"/>
  <c r="BX67" i="2"/>
  <c r="CI67" i="2" s="1"/>
  <c r="BO67" i="2"/>
  <c r="CH67" i="2" s="1"/>
  <c r="BE67" i="2"/>
  <c r="CF67" i="2" s="1"/>
  <c r="AP67" i="2"/>
  <c r="CE67" i="2" s="1"/>
  <c r="CE66" i="2"/>
  <c r="CG66" i="2" s="1"/>
  <c r="CC66" i="2"/>
  <c r="CJ66" i="2" s="1"/>
  <c r="BX66" i="2"/>
  <c r="CI66" i="2" s="1"/>
  <c r="BO66" i="2"/>
  <c r="CH66" i="2" s="1"/>
  <c r="BE66" i="2"/>
  <c r="CF66" i="2" s="1"/>
  <c r="AP66" i="2"/>
  <c r="CJ65" i="2"/>
  <c r="CI65" i="2"/>
  <c r="CH65" i="2"/>
  <c r="CC65" i="2"/>
  <c r="BX65" i="2"/>
  <c r="BO65" i="2"/>
  <c r="BE65" i="2"/>
  <c r="CF65" i="2" s="1"/>
  <c r="AP65" i="2"/>
  <c r="CE65" i="2" s="1"/>
  <c r="CG65" i="2" s="1"/>
  <c r="CK65" i="2" s="1"/>
  <c r="CK64" i="2"/>
  <c r="CJ64" i="2"/>
  <c r="CI64" i="2"/>
  <c r="CH64" i="2"/>
  <c r="CF64" i="2"/>
  <c r="CE64" i="2"/>
  <c r="CG64" i="2" s="1"/>
  <c r="CC64" i="2"/>
  <c r="BX64" i="2"/>
  <c r="BO64" i="2"/>
  <c r="BE64" i="2"/>
  <c r="AP64" i="2"/>
  <c r="CI63" i="2"/>
  <c r="CF63" i="2"/>
  <c r="CE63" i="2"/>
  <c r="CG63" i="2" s="1"/>
  <c r="CC63" i="2"/>
  <c r="CJ63" i="2" s="1"/>
  <c r="BX63" i="2"/>
  <c r="BO63" i="2"/>
  <c r="CH63" i="2" s="1"/>
  <c r="BE63" i="2"/>
  <c r="AP63" i="2"/>
  <c r="CC62" i="2"/>
  <c r="CJ62" i="2" s="1"/>
  <c r="BX62" i="2"/>
  <c r="CI62" i="2" s="1"/>
  <c r="BO62" i="2"/>
  <c r="CH62" i="2" s="1"/>
  <c r="BE62" i="2"/>
  <c r="CF62" i="2" s="1"/>
  <c r="AP62" i="2"/>
  <c r="CE62" i="2" s="1"/>
  <c r="CG62" i="2" s="1"/>
  <c r="CK62" i="2" s="1"/>
  <c r="CJ61" i="2"/>
  <c r="CI61" i="2"/>
  <c r="CH61" i="2"/>
  <c r="CC61" i="2"/>
  <c r="BX61" i="2"/>
  <c r="BO61" i="2"/>
  <c r="BE61" i="2"/>
  <c r="CF61" i="2" s="1"/>
  <c r="AP61" i="2"/>
  <c r="CE61" i="2" s="1"/>
  <c r="CG61" i="2" s="1"/>
  <c r="CK61" i="2" s="1"/>
  <c r="CI60" i="2"/>
  <c r="CH60" i="2"/>
  <c r="CF60" i="2"/>
  <c r="CE60" i="2"/>
  <c r="CG60" i="2" s="1"/>
  <c r="CK60" i="2" s="1"/>
  <c r="CC60" i="2"/>
  <c r="CJ60" i="2" s="1"/>
  <c r="BX60" i="2"/>
  <c r="BO60" i="2"/>
  <c r="BE60" i="2"/>
  <c r="AP60" i="2"/>
  <c r="CI59" i="2"/>
  <c r="CF59" i="2"/>
  <c r="CE59" i="2"/>
  <c r="CG59" i="2" s="1"/>
  <c r="CK59" i="2" s="1"/>
  <c r="CC59" i="2"/>
  <c r="CJ59" i="2" s="1"/>
  <c r="BX59" i="2"/>
  <c r="BO59" i="2"/>
  <c r="CH59" i="2" s="1"/>
  <c r="BE59" i="2"/>
  <c r="AP59" i="2"/>
  <c r="CC58" i="2"/>
  <c r="CJ58" i="2" s="1"/>
  <c r="BX58" i="2"/>
  <c r="CI58" i="2" s="1"/>
  <c r="BO58" i="2"/>
  <c r="CH58" i="2" s="1"/>
  <c r="BE58" i="2"/>
  <c r="CF58" i="2" s="1"/>
  <c r="AP58" i="2"/>
  <c r="CE58" i="2" s="1"/>
  <c r="CG58" i="2" s="1"/>
  <c r="CK58" i="2" s="1"/>
  <c r="CJ57" i="2"/>
  <c r="CK57" i="2" s="1"/>
  <c r="CI57" i="2"/>
  <c r="CH57" i="2"/>
  <c r="CC57" i="2"/>
  <c r="BX57" i="2"/>
  <c r="BO57" i="2"/>
  <c r="BE57" i="2"/>
  <c r="CF57" i="2" s="1"/>
  <c r="AP57" i="2"/>
  <c r="CE57" i="2" s="1"/>
  <c r="CG57" i="2" s="1"/>
  <c r="CI56" i="2"/>
  <c r="CH56" i="2"/>
  <c r="CF56" i="2"/>
  <c r="CE56" i="2"/>
  <c r="CG56" i="2" s="1"/>
  <c r="CC56" i="2"/>
  <c r="CJ56" i="2" s="1"/>
  <c r="BX56" i="2"/>
  <c r="BO56" i="2"/>
  <c r="BE56" i="2"/>
  <c r="AP56" i="2"/>
  <c r="CC55" i="2"/>
  <c r="CJ55" i="2" s="1"/>
  <c r="BX55" i="2"/>
  <c r="CI55" i="2" s="1"/>
  <c r="BO55" i="2"/>
  <c r="CH55" i="2" s="1"/>
  <c r="BE55" i="2"/>
  <c r="CF55" i="2" s="1"/>
  <c r="AP55" i="2"/>
  <c r="CE55" i="2" s="1"/>
  <c r="CG55" i="2" s="1"/>
  <c r="CK55" i="2" s="1"/>
  <c r="BV54" i="2"/>
  <c r="BU54" i="2"/>
  <c r="CB54" i="2" s="1"/>
  <c r="BO54" i="2"/>
  <c r="CA54" i="2" s="1"/>
  <c r="BH54" i="2"/>
  <c r="BZ54" i="2" s="1"/>
  <c r="BA54" i="2"/>
  <c r="BX54" i="2" s="1"/>
  <c r="AP54" i="2"/>
  <c r="BW54" i="2" s="1"/>
  <c r="BY54" i="2" s="1"/>
  <c r="CB53" i="2"/>
  <c r="BV53" i="2"/>
  <c r="BU53" i="2"/>
  <c r="BO53" i="2"/>
  <c r="CA53" i="2" s="1"/>
  <c r="BH53" i="2"/>
  <c r="BZ53" i="2" s="1"/>
  <c r="BA53" i="2"/>
  <c r="BX53" i="2" s="1"/>
  <c r="AP53" i="2"/>
  <c r="BW53" i="2" s="1"/>
  <c r="BY53" i="2" s="1"/>
  <c r="CC53" i="2" s="1"/>
  <c r="CB52" i="2"/>
  <c r="CA52" i="2"/>
  <c r="BZ52" i="2"/>
  <c r="BX52" i="2"/>
  <c r="BY52" i="2" s="1"/>
  <c r="CC52" i="2" s="1"/>
  <c r="BV52" i="2"/>
  <c r="BU52" i="2"/>
  <c r="BO52" i="2"/>
  <c r="BH52" i="2"/>
  <c r="BA52" i="2"/>
  <c r="AP52" i="2"/>
  <c r="BW52" i="2" s="1"/>
  <c r="CA51" i="2"/>
  <c r="BZ51" i="2"/>
  <c r="BX51" i="2"/>
  <c r="BW51" i="2"/>
  <c r="BY51" i="2" s="1"/>
  <c r="BV51" i="2"/>
  <c r="BU51" i="2"/>
  <c r="CB51" i="2" s="1"/>
  <c r="BO51" i="2"/>
  <c r="BH51" i="2"/>
  <c r="BA51" i="2"/>
  <c r="AP51" i="2"/>
  <c r="BW50" i="2"/>
  <c r="BY50" i="2" s="1"/>
  <c r="CC50" i="2" s="1"/>
  <c r="BV50" i="2"/>
  <c r="BU50" i="2"/>
  <c r="CB50" i="2" s="1"/>
  <c r="BO50" i="2"/>
  <c r="CA50" i="2" s="1"/>
  <c r="BH50" i="2"/>
  <c r="BZ50" i="2" s="1"/>
  <c r="BA50" i="2"/>
  <c r="BX50" i="2" s="1"/>
  <c r="AP50" i="2"/>
  <c r="BX49" i="2"/>
  <c r="BV49" i="2"/>
  <c r="BU49" i="2"/>
  <c r="CB49" i="2" s="1"/>
  <c r="BO49" i="2"/>
  <c r="CA49" i="2" s="1"/>
  <c r="BH49" i="2"/>
  <c r="BZ49" i="2" s="1"/>
  <c r="BA49" i="2"/>
  <c r="AP49" i="2"/>
  <c r="BW49" i="2" s="1"/>
  <c r="BV48" i="2"/>
  <c r="BU48" i="2"/>
  <c r="CB48" i="2" s="1"/>
  <c r="BO48" i="2"/>
  <c r="CA48" i="2" s="1"/>
  <c r="BH48" i="2"/>
  <c r="BZ48" i="2" s="1"/>
  <c r="BA48" i="2"/>
  <c r="BX48" i="2" s="1"/>
  <c r="AP48" i="2"/>
  <c r="BW48" i="2" s="1"/>
  <c r="BY48" i="2" s="1"/>
  <c r="CB47" i="2"/>
  <c r="CC47" i="2" s="1"/>
  <c r="CA47" i="2"/>
  <c r="BZ47" i="2"/>
  <c r="BY47" i="2"/>
  <c r="BV47" i="2"/>
  <c r="BU47" i="2"/>
  <c r="BO47" i="2"/>
  <c r="BH47" i="2"/>
  <c r="BA47" i="2"/>
  <c r="BX47" i="2" s="1"/>
  <c r="AP47" i="2"/>
  <c r="BW47" i="2" s="1"/>
  <c r="CA46" i="2"/>
  <c r="BZ46" i="2"/>
  <c r="BX46" i="2"/>
  <c r="BY46" i="2" s="1"/>
  <c r="CC46" i="2" s="1"/>
  <c r="BW46" i="2"/>
  <c r="BV46" i="2"/>
  <c r="BU46" i="2"/>
  <c r="CB46" i="2" s="1"/>
  <c r="BO46" i="2"/>
  <c r="BH46" i="2"/>
  <c r="BA46" i="2"/>
  <c r="AP46" i="2"/>
  <c r="BX45" i="2"/>
  <c r="BV45" i="2"/>
  <c r="BU45" i="2"/>
  <c r="CB45" i="2" s="1"/>
  <c r="BO45" i="2"/>
  <c r="CA45" i="2" s="1"/>
  <c r="BH45" i="2"/>
  <c r="BZ45" i="2" s="1"/>
  <c r="BA45" i="2"/>
  <c r="AP45" i="2"/>
  <c r="BW45" i="2" s="1"/>
  <c r="BY45" i="2" s="1"/>
  <c r="CC45" i="2" s="1"/>
  <c r="BV44" i="2"/>
  <c r="BU44" i="2"/>
  <c r="CB44" i="2" s="1"/>
  <c r="BO44" i="2"/>
  <c r="CA44" i="2" s="1"/>
  <c r="BH44" i="2"/>
  <c r="BZ44" i="2" s="1"/>
  <c r="BA44" i="2"/>
  <c r="BX44" i="2" s="1"/>
  <c r="AP44" i="2"/>
  <c r="BW44" i="2" s="1"/>
  <c r="CB43" i="2"/>
  <c r="CA43" i="2"/>
  <c r="BV43" i="2"/>
  <c r="BU43" i="2"/>
  <c r="BO43" i="2"/>
  <c r="BH43" i="2"/>
  <c r="BZ43" i="2" s="1"/>
  <c r="BA43" i="2"/>
  <c r="BX43" i="2" s="1"/>
  <c r="AP43" i="2"/>
  <c r="BW43" i="2" s="1"/>
  <c r="BY43" i="2" s="1"/>
  <c r="CC43" i="2" s="1"/>
  <c r="CB42" i="2"/>
  <c r="CA42" i="2"/>
  <c r="CC42" i="2" s="1"/>
  <c r="BZ42" i="2"/>
  <c r="BX42" i="2"/>
  <c r="BV42" i="2"/>
  <c r="BU42" i="2"/>
  <c r="BO42" i="2"/>
  <c r="BH42" i="2"/>
  <c r="BA42" i="2"/>
  <c r="AP42" i="2"/>
  <c r="BW42" i="2" s="1"/>
  <c r="BY42" i="2" s="1"/>
  <c r="CA41" i="2"/>
  <c r="BZ41" i="2"/>
  <c r="BX41" i="2"/>
  <c r="BY41" i="2" s="1"/>
  <c r="CC41" i="2" s="1"/>
  <c r="BW41" i="2"/>
  <c r="BV41" i="2"/>
  <c r="BU41" i="2"/>
  <c r="CB41" i="2" s="1"/>
  <c r="BO41" i="2"/>
  <c r="BH41" i="2"/>
  <c r="BA41" i="2"/>
  <c r="AP41" i="2"/>
  <c r="BW40" i="2"/>
  <c r="BY40" i="2" s="1"/>
  <c r="CC40" i="2" s="1"/>
  <c r="BV40" i="2"/>
  <c r="BU40" i="2"/>
  <c r="CB40" i="2" s="1"/>
  <c r="BO40" i="2"/>
  <c r="CA40" i="2" s="1"/>
  <c r="BH40" i="2"/>
  <c r="BZ40" i="2" s="1"/>
  <c r="BA40" i="2"/>
  <c r="BX40" i="2" s="1"/>
  <c r="AP40" i="2"/>
  <c r="BW39" i="2"/>
  <c r="BV39" i="2"/>
  <c r="BU39" i="2"/>
  <c r="CB39" i="2" s="1"/>
  <c r="BO39" i="2"/>
  <c r="CA39" i="2" s="1"/>
  <c r="BH39" i="2"/>
  <c r="BZ39" i="2" s="1"/>
  <c r="BA39" i="2"/>
  <c r="BX39" i="2" s="1"/>
  <c r="AP39" i="2"/>
  <c r="CB38" i="2"/>
  <c r="BV38" i="2"/>
  <c r="BU38" i="2"/>
  <c r="BO38" i="2"/>
  <c r="CA38" i="2" s="1"/>
  <c r="BH38" i="2"/>
  <c r="BZ38" i="2" s="1"/>
  <c r="BA38" i="2"/>
  <c r="BX38" i="2" s="1"/>
  <c r="AP38" i="2"/>
  <c r="BW38" i="2" s="1"/>
  <c r="BY38" i="2" s="1"/>
  <c r="CC38" i="2" s="1"/>
  <c r="CB37" i="2"/>
  <c r="CA37" i="2"/>
  <c r="BZ37" i="2"/>
  <c r="BV37" i="2"/>
  <c r="BU37" i="2"/>
  <c r="BO37" i="2"/>
  <c r="BH37" i="2"/>
  <c r="BA37" i="2"/>
  <c r="BX37" i="2" s="1"/>
  <c r="AP37" i="2"/>
  <c r="BW37" i="2" s="1"/>
  <c r="CB36" i="2"/>
  <c r="CA36" i="2"/>
  <c r="BZ36" i="2"/>
  <c r="BY36" i="2"/>
  <c r="BX36" i="2"/>
  <c r="BW36" i="2"/>
  <c r="BV36" i="2"/>
  <c r="BU36" i="2"/>
  <c r="BO36" i="2"/>
  <c r="BH36" i="2"/>
  <c r="BA36" i="2"/>
  <c r="AP36" i="2"/>
  <c r="BX35" i="2"/>
  <c r="BW35" i="2"/>
  <c r="BY35" i="2" s="1"/>
  <c r="CC35" i="2" s="1"/>
  <c r="BV35" i="2"/>
  <c r="BU35" i="2"/>
  <c r="CB35" i="2" s="1"/>
  <c r="BO35" i="2"/>
  <c r="CA35" i="2" s="1"/>
  <c r="BH35" i="2"/>
  <c r="BZ35" i="2" s="1"/>
  <c r="BA35" i="2"/>
  <c r="AP35" i="2"/>
  <c r="BX34" i="2"/>
  <c r="BW34" i="2"/>
  <c r="BY34" i="2" s="1"/>
  <c r="BV34" i="2"/>
  <c r="BU34" i="2"/>
  <c r="CB34" i="2" s="1"/>
  <c r="BO34" i="2"/>
  <c r="CA34" i="2" s="1"/>
  <c r="BH34" i="2"/>
  <c r="BZ34" i="2" s="1"/>
  <c r="BA34" i="2"/>
  <c r="AP34" i="2"/>
  <c r="BV33" i="2"/>
  <c r="BU33" i="2"/>
  <c r="CB33" i="2" s="1"/>
  <c r="BO33" i="2"/>
  <c r="CA33" i="2" s="1"/>
  <c r="BH33" i="2"/>
  <c r="BZ33" i="2" s="1"/>
  <c r="BA33" i="2"/>
  <c r="BX33" i="2" s="1"/>
  <c r="AP33" i="2"/>
  <c r="BW33" i="2" s="1"/>
  <c r="BY33" i="2" s="1"/>
  <c r="CB32" i="2"/>
  <c r="CA32" i="2"/>
  <c r="BZ32" i="2"/>
  <c r="BV32" i="2"/>
  <c r="BU32" i="2"/>
  <c r="BO32" i="2"/>
  <c r="BH32" i="2"/>
  <c r="BA32" i="2"/>
  <c r="BX32" i="2" s="1"/>
  <c r="AP32" i="2"/>
  <c r="BW32" i="2" s="1"/>
  <c r="BY32" i="2" s="1"/>
  <c r="CC32" i="2" s="1"/>
  <c r="CB31" i="2"/>
  <c r="CA31" i="2"/>
  <c r="BZ31" i="2"/>
  <c r="BX31" i="2"/>
  <c r="BW31" i="2"/>
  <c r="BY31" i="2" s="1"/>
  <c r="BV31" i="2"/>
  <c r="BU31" i="2"/>
  <c r="BO31" i="2"/>
  <c r="BH31" i="2"/>
  <c r="BA31" i="2"/>
  <c r="AP31" i="2"/>
  <c r="BZ30" i="2"/>
  <c r="BX30" i="2"/>
  <c r="BW30" i="2"/>
  <c r="BY30" i="2" s="1"/>
  <c r="CC30" i="2" s="1"/>
  <c r="BV30" i="2"/>
  <c r="BU30" i="2"/>
  <c r="CB30" i="2" s="1"/>
  <c r="BO30" i="2"/>
  <c r="CA30" i="2" s="1"/>
  <c r="BH30" i="2"/>
  <c r="BA30" i="2"/>
  <c r="AP30" i="2"/>
  <c r="BX29" i="2"/>
  <c r="BV29" i="2"/>
  <c r="BU29" i="2"/>
  <c r="CB29" i="2" s="1"/>
  <c r="BO29" i="2"/>
  <c r="CA29" i="2" s="1"/>
  <c r="BH29" i="2"/>
  <c r="BZ29" i="2" s="1"/>
  <c r="BA29" i="2"/>
  <c r="AP29" i="2"/>
  <c r="BW29" i="2" s="1"/>
  <c r="BY29" i="2" s="1"/>
  <c r="CC29" i="2" s="1"/>
  <c r="BV28" i="2"/>
  <c r="BU28" i="2"/>
  <c r="CB28" i="2" s="1"/>
  <c r="BO28" i="2"/>
  <c r="CA28" i="2" s="1"/>
  <c r="BH28" i="2"/>
  <c r="BZ28" i="2" s="1"/>
  <c r="BA28" i="2"/>
  <c r="BX28" i="2" s="1"/>
  <c r="AP28" i="2"/>
  <c r="BW28" i="2" s="1"/>
  <c r="BY28" i="2" s="1"/>
  <c r="CC28" i="2" s="1"/>
  <c r="CB27" i="2"/>
  <c r="CA27" i="2"/>
  <c r="BV27" i="2"/>
  <c r="BU27" i="2"/>
  <c r="BO27" i="2"/>
  <c r="BH27" i="2"/>
  <c r="BZ27" i="2" s="1"/>
  <c r="BA27" i="2"/>
  <c r="BX27" i="2" s="1"/>
  <c r="AP27" i="2"/>
  <c r="BW27" i="2" s="1"/>
  <c r="BY27" i="2" s="1"/>
  <c r="CC27" i="2" s="1"/>
  <c r="CB26" i="2"/>
  <c r="CA26" i="2"/>
  <c r="BZ26" i="2"/>
  <c r="BX26" i="2"/>
  <c r="BV26" i="2"/>
  <c r="BU26" i="2"/>
  <c r="BO26" i="2"/>
  <c r="BH26" i="2"/>
  <c r="BA26" i="2"/>
  <c r="AP26" i="2"/>
  <c r="BW26" i="2" s="1"/>
  <c r="BY26" i="2" s="1"/>
  <c r="CC26" i="2" s="1"/>
  <c r="CA25" i="2"/>
  <c r="BZ25" i="2"/>
  <c r="BX25" i="2"/>
  <c r="BY25" i="2" s="1"/>
  <c r="CC25" i="2" s="1"/>
  <c r="BW25" i="2"/>
  <c r="BV25" i="2"/>
  <c r="BU25" i="2"/>
  <c r="CB25" i="2" s="1"/>
  <c r="BO25" i="2"/>
  <c r="BH25" i="2"/>
  <c r="BA25" i="2"/>
  <c r="AP25" i="2"/>
  <c r="CA24" i="2"/>
  <c r="BW24" i="2"/>
  <c r="BY24" i="2" s="1"/>
  <c r="CC24" i="2" s="1"/>
  <c r="BV24" i="2"/>
  <c r="BU24" i="2"/>
  <c r="CB24" i="2" s="1"/>
  <c r="BO24" i="2"/>
  <c r="BH24" i="2"/>
  <c r="BZ24" i="2" s="1"/>
  <c r="BA24" i="2"/>
  <c r="BX24" i="2" s="1"/>
  <c r="AP24" i="2"/>
  <c r="BW23" i="2"/>
  <c r="BV23" i="2"/>
  <c r="BU23" i="2"/>
  <c r="CB23" i="2" s="1"/>
  <c r="BO23" i="2"/>
  <c r="CA23" i="2" s="1"/>
  <c r="BH23" i="2"/>
  <c r="BZ23" i="2" s="1"/>
  <c r="BA23" i="2"/>
  <c r="BX23" i="2" s="1"/>
  <c r="AP23" i="2"/>
  <c r="CB22" i="2"/>
  <c r="BV22" i="2"/>
  <c r="BU22" i="2"/>
  <c r="BO22" i="2"/>
  <c r="CA22" i="2" s="1"/>
  <c r="BH22" i="2"/>
  <c r="BZ22" i="2" s="1"/>
  <c r="BA22" i="2"/>
  <c r="BX22" i="2" s="1"/>
  <c r="AP22" i="2"/>
  <c r="BW22" i="2" s="1"/>
  <c r="BY22" i="2" s="1"/>
  <c r="CB21" i="2"/>
  <c r="CA21" i="2"/>
  <c r="BZ21" i="2"/>
  <c r="BV21" i="2"/>
  <c r="BU21" i="2"/>
  <c r="BO21" i="2"/>
  <c r="BH21" i="2"/>
  <c r="BA21" i="2"/>
  <c r="BX21" i="2" s="1"/>
  <c r="AP21" i="2"/>
  <c r="BW21" i="2" s="1"/>
  <c r="BY21" i="2" s="1"/>
  <c r="CC21" i="2" s="1"/>
  <c r="CB20" i="2"/>
  <c r="CA20" i="2"/>
  <c r="BZ20" i="2"/>
  <c r="BY20" i="2"/>
  <c r="BX20" i="2"/>
  <c r="BW20" i="2"/>
  <c r="BV20" i="2"/>
  <c r="BU20" i="2"/>
  <c r="BO20" i="2"/>
  <c r="BH20" i="2"/>
  <c r="BA20" i="2"/>
  <c r="AP20" i="2"/>
  <c r="CB19" i="2"/>
  <c r="BX19" i="2"/>
  <c r="BW19" i="2"/>
  <c r="BY19" i="2" s="1"/>
  <c r="BV19" i="2"/>
  <c r="BU19" i="2"/>
  <c r="BO19" i="2"/>
  <c r="CA19" i="2" s="1"/>
  <c r="BH19" i="2"/>
  <c r="BZ19" i="2" s="1"/>
  <c r="BA19" i="2"/>
  <c r="AP19" i="2"/>
  <c r="BX18" i="2"/>
  <c r="BW18" i="2"/>
  <c r="BY18" i="2" s="1"/>
  <c r="BV18" i="2"/>
  <c r="BU18" i="2"/>
  <c r="CB18" i="2" s="1"/>
  <c r="BO18" i="2"/>
  <c r="CA18" i="2" s="1"/>
  <c r="BH18" i="2"/>
  <c r="BZ18" i="2" s="1"/>
  <c r="BA18" i="2"/>
  <c r="AP18" i="2"/>
  <c r="BV17" i="2"/>
  <c r="BU17" i="2"/>
  <c r="CB17" i="2" s="1"/>
  <c r="BO17" i="2"/>
  <c r="CA17" i="2" s="1"/>
  <c r="BH17" i="2"/>
  <c r="BZ17" i="2" s="1"/>
  <c r="BA17" i="2"/>
  <c r="BX17" i="2" s="1"/>
  <c r="AP17" i="2"/>
  <c r="BW17" i="2" s="1"/>
  <c r="BY17" i="2" s="1"/>
  <c r="CC17" i="2" s="1"/>
  <c r="CB16" i="2"/>
  <c r="CA16" i="2"/>
  <c r="BZ16" i="2"/>
  <c r="BV16" i="2"/>
  <c r="BU16" i="2"/>
  <c r="BO16" i="2"/>
  <c r="BH16" i="2"/>
  <c r="BA16" i="2"/>
  <c r="BX16" i="2" s="1"/>
  <c r="AP16" i="2"/>
  <c r="BW16" i="2" s="1"/>
  <c r="CB15" i="2"/>
  <c r="CA15" i="2"/>
  <c r="BZ15" i="2"/>
  <c r="BX15" i="2"/>
  <c r="BW15" i="2"/>
  <c r="BY15" i="2" s="1"/>
  <c r="CC15" i="2" s="1"/>
  <c r="BV15" i="2"/>
  <c r="BU15" i="2"/>
  <c r="BO15" i="2"/>
  <c r="BH15" i="2"/>
  <c r="BA15" i="2"/>
  <c r="AP15" i="2"/>
  <c r="BZ14" i="2"/>
  <c r="BX14" i="2"/>
  <c r="BW14" i="2"/>
  <c r="BY14" i="2" s="1"/>
  <c r="CC14" i="2" s="1"/>
  <c r="BV14" i="2"/>
  <c r="BU14" i="2"/>
  <c r="CB14" i="2" s="1"/>
  <c r="BO14" i="2"/>
  <c r="CA14" i="2" s="1"/>
  <c r="BH14" i="2"/>
  <c r="BA14" i="2"/>
  <c r="AP14" i="2"/>
  <c r="BZ13" i="2"/>
  <c r="BX13" i="2"/>
  <c r="BV13" i="2"/>
  <c r="BU13" i="2"/>
  <c r="CB13" i="2" s="1"/>
  <c r="BO13" i="2"/>
  <c r="CA13" i="2" s="1"/>
  <c r="BH13" i="2"/>
  <c r="BA13" i="2"/>
  <c r="AP13" i="2"/>
  <c r="BW13" i="2" s="1"/>
  <c r="BY13" i="2" s="1"/>
  <c r="BV12" i="2"/>
  <c r="BU12" i="2"/>
  <c r="CB12" i="2" s="1"/>
  <c r="BO12" i="2"/>
  <c r="CA12" i="2" s="1"/>
  <c r="BH12" i="2"/>
  <c r="BZ12" i="2" s="1"/>
  <c r="BA12" i="2"/>
  <c r="BX12" i="2" s="1"/>
  <c r="AP12" i="2"/>
  <c r="BW12" i="2" s="1"/>
  <c r="BY12" i="2" s="1"/>
  <c r="CC12" i="2" s="1"/>
  <c r="CB11" i="2"/>
  <c r="CA11" i="2"/>
  <c r="BV11" i="2"/>
  <c r="BU11" i="2"/>
  <c r="BO11" i="2"/>
  <c r="BH11" i="2"/>
  <c r="BZ11" i="2" s="1"/>
  <c r="BA11" i="2"/>
  <c r="BX11" i="2" s="1"/>
  <c r="AP11" i="2"/>
  <c r="BW11" i="2" s="1"/>
  <c r="BY11" i="2" s="1"/>
  <c r="CB10" i="2"/>
  <c r="CA10" i="2"/>
  <c r="BZ10" i="2"/>
  <c r="BX10" i="2"/>
  <c r="BV10" i="2"/>
  <c r="BU10" i="2"/>
  <c r="BO10" i="2"/>
  <c r="BH10" i="2"/>
  <c r="BA10" i="2"/>
  <c r="AP10" i="2"/>
  <c r="BW10" i="2" s="1"/>
  <c r="BY10" i="2" s="1"/>
  <c r="CC10" i="2" s="1"/>
  <c r="CA9" i="2"/>
  <c r="BZ9" i="2"/>
  <c r="BY9" i="2"/>
  <c r="CC9" i="2" s="1"/>
  <c r="BX9" i="2"/>
  <c r="BW9" i="2"/>
  <c r="BV9" i="2"/>
  <c r="BU9" i="2"/>
  <c r="CB9" i="2" s="1"/>
  <c r="BO9" i="2"/>
  <c r="BH9" i="2"/>
  <c r="BA9" i="2"/>
  <c r="AP9" i="2"/>
  <c r="CA8" i="2"/>
  <c r="BW8" i="2"/>
  <c r="BY8" i="2" s="1"/>
  <c r="BV8" i="2"/>
  <c r="BU8" i="2"/>
  <c r="CB8" i="2" s="1"/>
  <c r="BO8" i="2"/>
  <c r="BH8" i="2"/>
  <c r="BZ8" i="2" s="1"/>
  <c r="BA8" i="2"/>
  <c r="BX8" i="2" s="1"/>
  <c r="AP8" i="2"/>
  <c r="BW7" i="2"/>
  <c r="BV7" i="2"/>
  <c r="BU7" i="2"/>
  <c r="CB7" i="2" s="1"/>
  <c r="BO7" i="2"/>
  <c r="CA7" i="2" s="1"/>
  <c r="BH7" i="2"/>
  <c r="BZ7" i="2" s="1"/>
  <c r="BA7" i="2"/>
  <c r="BX7" i="2" s="1"/>
  <c r="AP7" i="2"/>
  <c r="CB6" i="2"/>
  <c r="BV6" i="2"/>
  <c r="BU6" i="2"/>
  <c r="BO6" i="2"/>
  <c r="CA6" i="2" s="1"/>
  <c r="BH6" i="2"/>
  <c r="BZ6" i="2" s="1"/>
  <c r="BA6" i="2"/>
  <c r="BX6" i="2" s="1"/>
  <c r="AP6" i="2"/>
  <c r="BW6" i="2" s="1"/>
  <c r="CB5" i="2"/>
  <c r="CC5" i="2" s="1"/>
  <c r="CA5" i="2"/>
  <c r="BZ5" i="2"/>
  <c r="BV5" i="2"/>
  <c r="BU5" i="2"/>
  <c r="BO5" i="2"/>
  <c r="BH5" i="2"/>
  <c r="BA5" i="2"/>
  <c r="BX5" i="2" s="1"/>
  <c r="AP5" i="2"/>
  <c r="BW5" i="2" s="1"/>
  <c r="BY5" i="2" s="1"/>
  <c r="CB4" i="2"/>
  <c r="CA4" i="2"/>
  <c r="BZ4" i="2"/>
  <c r="BY4" i="2"/>
  <c r="CC4" i="2" s="1"/>
  <c r="BX4" i="2"/>
  <c r="BW4" i="2"/>
  <c r="BV4" i="2"/>
  <c r="BU4" i="2"/>
  <c r="BO4" i="2"/>
  <c r="BH4" i="2"/>
  <c r="BA4" i="2"/>
  <c r="AP4" i="2"/>
  <c r="CB3" i="2"/>
  <c r="BX3" i="2"/>
  <c r="BW3" i="2"/>
  <c r="BV3" i="2"/>
  <c r="BU3" i="2"/>
  <c r="BO3" i="2"/>
  <c r="CA3" i="2" s="1"/>
  <c r="BH3" i="2"/>
  <c r="BZ3" i="2" s="1"/>
  <c r="BA3" i="2"/>
  <c r="AP3" i="2"/>
  <c r="BX2" i="2"/>
  <c r="BW2" i="2"/>
  <c r="BY2" i="2" s="1"/>
  <c r="CC2" i="2" s="1"/>
  <c r="BV2" i="2"/>
  <c r="BU2" i="2"/>
  <c r="CB2" i="2" s="1"/>
  <c r="BO2" i="2"/>
  <c r="CA2" i="2" s="1"/>
  <c r="BH2" i="2"/>
  <c r="BZ2" i="2" s="1"/>
  <c r="BA2" i="2"/>
  <c r="AP2" i="2"/>
  <c r="CC22" i="2" l="1"/>
  <c r="CC33" i="2"/>
  <c r="CK71" i="2"/>
  <c r="CC31" i="2"/>
  <c r="CC54" i="2"/>
  <c r="CK56" i="2"/>
  <c r="CA107" i="2"/>
  <c r="CA178" i="2"/>
  <c r="CA197" i="2"/>
  <c r="CA205" i="2"/>
  <c r="BY6" i="2"/>
  <c r="CC6" i="2" s="1"/>
  <c r="CC20" i="2"/>
  <c r="BY37" i="2"/>
  <c r="CC37" i="2" s="1"/>
  <c r="CC48" i="2"/>
  <c r="CG67" i="2"/>
  <c r="CK67" i="2" s="1"/>
  <c r="BW79" i="2"/>
  <c r="CA79" i="2" s="1"/>
  <c r="CA125" i="2"/>
  <c r="CA131" i="2"/>
  <c r="BW159" i="2"/>
  <c r="CA159" i="2" s="1"/>
  <c r="BW258" i="2"/>
  <c r="CA258" i="2" s="1"/>
  <c r="CA189" i="2"/>
  <c r="CC8" i="2"/>
  <c r="CA173" i="2"/>
  <c r="CA253" i="2"/>
  <c r="BY3" i="2"/>
  <c r="CC3" i="2" s="1"/>
  <c r="BY16" i="2"/>
  <c r="CC16" i="2" s="1"/>
  <c r="BY39" i="2"/>
  <c r="CC39" i="2" s="1"/>
  <c r="BW72" i="2"/>
  <c r="CA72" i="2" s="1"/>
  <c r="CA77" i="2"/>
  <c r="BW106" i="2"/>
  <c r="CA106" i="2" s="1"/>
  <c r="BW127" i="2"/>
  <c r="CA127" i="2" s="1"/>
  <c r="BW130" i="2"/>
  <c r="CA130" i="2" s="1"/>
  <c r="CA154" i="2"/>
  <c r="BW207" i="2"/>
  <c r="CA207" i="2" s="1"/>
  <c r="CA157" i="2"/>
  <c r="CA103" i="2"/>
  <c r="BW119" i="2"/>
  <c r="CA119" i="2" s="1"/>
  <c r="CA237" i="2"/>
  <c r="CA250" i="2"/>
  <c r="CC13" i="2"/>
  <c r="CC34" i="2"/>
  <c r="CC51" i="2"/>
  <c r="CA85" i="2"/>
  <c r="BY23" i="2"/>
  <c r="CC23" i="2" s="1"/>
  <c r="CA101" i="2"/>
  <c r="BW114" i="2"/>
  <c r="CA114" i="2" s="1"/>
  <c r="CA133" i="2"/>
  <c r="CA141" i="2"/>
  <c r="CA218" i="2"/>
  <c r="CC19" i="2"/>
  <c r="CC11" i="2"/>
  <c r="CC36" i="2"/>
  <c r="CK68" i="2"/>
  <c r="CA93" i="2"/>
  <c r="CA194" i="2"/>
  <c r="CA213" i="2"/>
  <c r="CA221" i="2"/>
  <c r="CK63" i="2"/>
  <c r="CA170" i="2"/>
  <c r="BY7" i="2"/>
  <c r="CC7" i="2" s="1"/>
  <c r="CC18" i="2"/>
  <c r="BY44" i="2"/>
  <c r="CC44" i="2" s="1"/>
  <c r="BW175" i="2"/>
  <c r="CA175" i="2" s="1"/>
  <c r="BW76" i="2"/>
  <c r="CA76" i="2" s="1"/>
  <c r="CA140" i="2"/>
  <c r="CA156" i="2"/>
  <c r="CA172" i="2"/>
  <c r="CA188" i="2"/>
  <c r="CA204" i="2"/>
  <c r="CA220" i="2"/>
  <c r="CA236" i="2"/>
  <c r="CA252" i="2"/>
  <c r="CA111" i="2"/>
  <c r="CK66" i="2"/>
  <c r="BW105" i="2"/>
  <c r="CA105" i="2" s="1"/>
  <c r="BW100" i="2"/>
  <c r="CA100" i="2" s="1"/>
  <c r="BW92" i="2"/>
  <c r="CA92" i="2" s="1"/>
  <c r="BY49" i="2"/>
  <c r="CC49" i="2" s="1"/>
  <c r="BW84" i="2"/>
  <c r="CA84" i="2" s="1"/>
  <c r="BW113" i="2"/>
  <c r="CA113" i="2" s="1"/>
  <c r="BW142" i="2"/>
  <c r="CA142" i="2" s="1"/>
  <c r="BW158" i="2"/>
  <c r="CA158" i="2" s="1"/>
  <c r="BW174" i="2"/>
  <c r="CA174" i="2" s="1"/>
  <c r="BW190" i="2"/>
  <c r="CA190" i="2" s="1"/>
  <c r="BW206" i="2"/>
  <c r="CA206" i="2" s="1"/>
  <c r="BW222" i="2"/>
  <c r="CA222" i="2" s="1"/>
  <c r="BW238" i="2"/>
  <c r="CA238" i="2" s="1"/>
  <c r="BW254" i="2"/>
  <c r="CA254" i="2" s="1"/>
  <c r="BW116" i="2"/>
  <c r="CA116" i="2" s="1"/>
  <c r="CK70" i="2"/>
  <c r="BW108" i="2"/>
  <c r="CA108" i="2" s="1"/>
  <c r="BW124" i="2"/>
  <c r="CA1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" authorId="0" shapeId="0" xr:uid="{64A2E2F5-081A-4BF7-BEF3-F906599BB698}">
      <text>
        <r>
          <rPr>
            <sz val="10"/>
            <color rgb="FF000000"/>
            <rFont val="Aptos Narrow"/>
            <family val="2"/>
            <scheme val="minor"/>
          </rPr>
          <t>cerrado. se pasó a las 8:15 AM
	-Esteban Cuevas Hernandez</t>
        </r>
      </text>
    </comment>
  </commentList>
</comments>
</file>

<file path=xl/sharedStrings.xml><?xml version="1.0" encoding="utf-8"?>
<sst xmlns="http://schemas.openxmlformats.org/spreadsheetml/2006/main" count="2101" uniqueCount="786">
  <si>
    <t>tipo AA</t>
  </si>
  <si>
    <t>Escuela</t>
  </si>
  <si>
    <t>lat</t>
  </si>
  <si>
    <t>long</t>
  </si>
  <si>
    <t>ds_inst_frut</t>
  </si>
  <si>
    <t>ds_inst_jugo</t>
  </si>
  <si>
    <t>ds_inst_frut_seca</t>
  </si>
  <si>
    <t>ds_inst_frut_seco</t>
  </si>
  <si>
    <t>ds_inst_verd</t>
  </si>
  <si>
    <t>ds_inst_lech</t>
  </si>
  <si>
    <t>ds_inst_lech_sab</t>
  </si>
  <si>
    <t>ds_inst_lech_cult</t>
  </si>
  <si>
    <t>ds_inst_yog</t>
  </si>
  <si>
    <t>ds_inst_quesofr</t>
  </si>
  <si>
    <t>ds_inst_quesoam</t>
  </si>
  <si>
    <t>ds_inst_leg</t>
  </si>
  <si>
    <t>ds_inst_car</t>
  </si>
  <si>
    <t>ds_inst_pesc_fres</t>
  </si>
  <si>
    <t>ds_inst_pesc_enla</t>
  </si>
  <si>
    <t>ds_inst_huev</t>
  </si>
  <si>
    <t>ds_inst_cer_des</t>
  </si>
  <si>
    <t>ds_inst_cer</t>
  </si>
  <si>
    <t>ds_inst_pan</t>
  </si>
  <si>
    <t>ds_inst_sand</t>
  </si>
  <si>
    <t>ds_inst_ag</t>
  </si>
  <si>
    <t>ds_inst_ag_sab</t>
  </si>
  <si>
    <t>ds_inst_nect</t>
  </si>
  <si>
    <t>ds_inst_beb</t>
  </si>
  <si>
    <t>ds_inst_acei</t>
  </si>
  <si>
    <t>ds_inst_hel</t>
  </si>
  <si>
    <t>ds_inst_tecaf</t>
  </si>
  <si>
    <t>ds_inst_a_entr</t>
  </si>
  <si>
    <t>ds_inst_sandprep</t>
  </si>
  <si>
    <t>ds_inst_tortlpc</t>
  </si>
  <si>
    <t>ds_inst_platfond</t>
  </si>
  <si>
    <t>ds_inst_postre</t>
  </si>
  <si>
    <t>ds_inst_d_menu</t>
  </si>
  <si>
    <t>ds_inst_d_acom</t>
  </si>
  <si>
    <t>ds_inst_a_aper</t>
  </si>
  <si>
    <t>ds_inst_a_almu</t>
  </si>
  <si>
    <t>ds_inst_a_beb</t>
  </si>
  <si>
    <t>Total disp SI</t>
  </si>
  <si>
    <t>Total No</t>
  </si>
  <si>
    <t>dns_inst_sn_sal</t>
  </si>
  <si>
    <t>dns_inst_sn_dul</t>
  </si>
  <si>
    <t>dns_inst_emb</t>
  </si>
  <si>
    <t>dns_inst_gall</t>
  </si>
  <si>
    <t>dns_inst_sal_adere</t>
  </si>
  <si>
    <t>dns_inst_sal_dul</t>
  </si>
  <si>
    <t>dns_inst_hel</t>
  </si>
  <si>
    <t>dns_inst_masa_dul</t>
  </si>
  <si>
    <t>dns_inst_masa_sal</t>
  </si>
  <si>
    <t>dns_inst_com_rap</t>
  </si>
  <si>
    <t>dns_inst_gas</t>
  </si>
  <si>
    <t>dns_inst_beb_dep</t>
  </si>
  <si>
    <t>dns_inst_snack_gr</t>
  </si>
  <si>
    <t>Total SI</t>
  </si>
  <si>
    <t>Total NO</t>
  </si>
  <si>
    <t>var_inst_car</t>
  </si>
  <si>
    <t>var_inst_pesc</t>
  </si>
  <si>
    <t>var_inst_leg</t>
  </si>
  <si>
    <t>var_inst_post</t>
  </si>
  <si>
    <t>var_inst_ens</t>
  </si>
  <si>
    <t>var_inst_lact</t>
  </si>
  <si>
    <t>var_inst_cer</t>
  </si>
  <si>
    <t>var_inst_ag</t>
  </si>
  <si>
    <t>pub_inst_guias</t>
  </si>
  <si>
    <t>pub_inst_ley20606</t>
  </si>
  <si>
    <t>pub_inst_ofer</t>
  </si>
  <si>
    <t>pub_inst_coloc_des</t>
  </si>
  <si>
    <t>pub_inst_desc</t>
  </si>
  <si>
    <t>pub_inst_sal_caja</t>
  </si>
  <si>
    <t>pub_inst_promot</t>
  </si>
  <si>
    <t>Ot_inst_nutr</t>
  </si>
  <si>
    <t>Ot_inst_sale</t>
  </si>
  <si>
    <t>Ot_inst_sal</t>
  </si>
  <si>
    <t>Ot_inst_agu</t>
  </si>
  <si>
    <t>disp_sal</t>
  </si>
  <si>
    <t>disp_nosal</t>
  </si>
  <si>
    <t>disp_abs</t>
  </si>
  <si>
    <t>variedad</t>
  </si>
  <si>
    <t>publicidad</t>
  </si>
  <si>
    <t>Otros</t>
  </si>
  <si>
    <t>institucional</t>
  </si>
  <si>
    <t>Malaquias Concha</t>
  </si>
  <si>
    <t>Poeta Oscar Castro</t>
  </si>
  <si>
    <t>La Araucania</t>
  </si>
  <si>
    <t>Julio Montt Salamanca</t>
  </si>
  <si>
    <t>Fray Camilo Henriquez</t>
  </si>
  <si>
    <t>Su Santidad Juan XIII</t>
  </si>
  <si>
    <t>abastecimiento</t>
  </si>
  <si>
    <t>1 malaquias concha y poeta</t>
  </si>
  <si>
    <t>Almacen</t>
  </si>
  <si>
    <t>(3 malaquias concha y poeta oscar castro)</t>
  </si>
  <si>
    <t>almacen</t>
  </si>
  <si>
    <t>(6 malaquias concha y poeta oscar castro). (combarbalá 0334) Eterno campeon 2. Cerrado, se pasó a las 9:00 AM</t>
  </si>
  <si>
    <t>botilleria</t>
  </si>
  <si>
    <t>(9 malaquias concha). (23 poeta oscar castro). Sin nombre. Parral con linares (cerrado)</t>
  </si>
  <si>
    <t xml:space="preserve">(11 malaquias concha) (25 poeta oscar castro). Almacen señora Anita. Linares 0664. </t>
  </si>
  <si>
    <t>(12) Malaquias concha. Linquen esquina con linares. Botilleria don lucho</t>
  </si>
  <si>
    <t>Botilleria</t>
  </si>
  <si>
    <t>(14) malaquias concha. linares 0767. sin nombre</t>
  </si>
  <si>
    <t xml:space="preserve">(17) Malaquias concha. Sin nombre </t>
  </si>
  <si>
    <t>(19) Malaquias concha. Coronel 7844. Sin nombre</t>
  </si>
  <si>
    <t>(21) Malaquias concha. Esquina lirquen con tome. Botilleria Escorpion)</t>
  </si>
  <si>
    <t>(22 malaquias). (26 poeta oscar castro). Tome 0695. Sin nombre</t>
  </si>
  <si>
    <t>(23 malaquias concha). (27 poeta oscar castro). Tome 0676. Sin nombre. Cerrado</t>
  </si>
  <si>
    <t xml:space="preserve">(24 malaquias concha). (28 poeta oscar castro). Carniceria don raul. </t>
  </si>
  <si>
    <t>Carniceria</t>
  </si>
  <si>
    <t>(25 malaquias concha) (13 poeta oscar castro). Dos oriente 8011. Sin nombre. Cerrado 10:34</t>
  </si>
  <si>
    <t>(26 malaquias concha). (12 Poeta oscar castro). Dos ortiente 8033. Silvia.</t>
  </si>
  <si>
    <t>(27 malaquias concha) (29 poeta oscar castro). Tome 0608. Sin nombre</t>
  </si>
  <si>
    <t xml:space="preserve">(29 malaquias concha) (31 poeta oscar castro). Quilpue esquina con tome. sta daisy. </t>
  </si>
  <si>
    <t>(30 malaquias concha). (32 poeta oscar castro). La familia.</t>
  </si>
  <si>
    <t>amasanderia</t>
  </si>
  <si>
    <t xml:space="preserve">(31 malaquias concha) (33 poeta oscar castro). Los 3 diamantes. </t>
  </si>
  <si>
    <t>(32 malaquias concha) (34 poeta oscar castro). Tio lucho. cerrada</t>
  </si>
  <si>
    <t>(33 malaquias concha) (35 poeta oscar castro). Las delicias</t>
  </si>
  <si>
    <t>Panaderia</t>
  </si>
  <si>
    <t>(1 poeta oscar castro y malaquias concha)</t>
  </si>
  <si>
    <t>(3 poeta oscar castro y malaquias concha)</t>
  </si>
  <si>
    <t>(6 poeta oscar castro y malaquias concha). (combarbalá 0334) Eterno campeon 2. Cerrado, se pasó a las 9:00 AM</t>
  </si>
  <si>
    <t>(7) poeta oscar castro. algarrobo 7879. sin nombre. cerrado a las 9:07</t>
  </si>
  <si>
    <t>(8) poeta oscar castro- Tome esquina con algarrobo. Emanuel 2.  Cerrado a las 9:21</t>
  </si>
  <si>
    <t>minimercado</t>
  </si>
  <si>
    <t xml:space="preserve">(9) poeta oscar castro. Iniciae en tome con algarrobo. Finaliza en Santa trosa con tome. </t>
  </si>
  <si>
    <t>Feria</t>
  </si>
  <si>
    <t>(10) poeta oscar castro. Cinco norte 0407. Sin nombre</t>
  </si>
  <si>
    <t>(12 Poeta oscar castro) (26 malaquias concha). (. Dos ortiente 8033. Silvia.</t>
  </si>
  <si>
    <t>(13 poeta oscar castro). (25 malaquias concha) Dos oriente 8011. Sin nombre. Cerrado 10:34</t>
  </si>
  <si>
    <t>(14) poeta oscar castro. Pasaje 2 ote esquina con valdivia. abarrotes rody SPA</t>
  </si>
  <si>
    <t>(15) poeta oscar castro. cardenal raul silva henriquez 8102. El sol</t>
  </si>
  <si>
    <t>minimarket</t>
  </si>
  <si>
    <t>(16) poeta oscar castro . valdivia esquina con cardenal raul silva henriquez. Sin nombre. cerrada a las 10:30</t>
  </si>
  <si>
    <t xml:space="preserve">(17) poeta oscar castro. valdivia 0383. los sepulveda aravena. </t>
  </si>
  <si>
    <t>(19) poeta oscar castro. el tabo 7859. sin nombre</t>
  </si>
  <si>
    <t>(23 poeta oscar castro). (9 malaquias concha).  Sin nombre. Parral con linares (cerrado)</t>
  </si>
  <si>
    <t xml:space="preserve">(25 poeta oscar castro).(11 malaquias concha)  Almacen señora Anita. Linares 0664. </t>
  </si>
  <si>
    <t>(26 poeta oscar castro) (22 malaquias). . Tome 0695. Sin nombre</t>
  </si>
  <si>
    <t>(27 poeta oscar castro) (23 malaquias concha).. Tome 0676. Sin nombre. Cerrado</t>
  </si>
  <si>
    <t xml:space="preserve">(28 poeta oscar castro) (24 malaquias concha). . Carniceria don raul. </t>
  </si>
  <si>
    <t>(29 poeta oscar castro) (27 malaquias concha) . Tome 0608. Sin nombre</t>
  </si>
  <si>
    <t xml:space="preserve">(31 poeta oscar castro) (29 malaquias concha) . Quilpue esquina con tome. sta daisy. </t>
  </si>
  <si>
    <t>(32 poeta oscar castro) (30 malaquias concha).. La familia.</t>
  </si>
  <si>
    <t xml:space="preserve">(33 poeta oscar castro) (31 malaquias concha) . Los 3 diamantes. </t>
  </si>
  <si>
    <t>(34 poeta oscar castro) (32 malaquias concha) . Tio lucho. cerrada</t>
  </si>
  <si>
    <t>(35 poeta oscar castro) (33 malaquias concha) . Las delicias</t>
  </si>
  <si>
    <t>(03) julio montt salamanca_frutas y verduras s/n_victor domingo silva 3155_cerrado 08:00</t>
  </si>
  <si>
    <t>Verduleria</t>
  </si>
  <si>
    <t>(04) julio montt salamanca_ almacen paty- esequiel fernndez esquina los cometas</t>
  </si>
  <si>
    <t>(05) julio montt salamanca_el huasito_esequiel fernandez 4285_ cerrado 8:30</t>
  </si>
  <si>
    <t xml:space="preserve">Amasanderia </t>
  </si>
  <si>
    <t>(06) julio montt salamanca_la lela_ los cohetes 2964_ crrado 08:35</t>
  </si>
  <si>
    <t>Bazar(paqueteria-confites)</t>
  </si>
  <si>
    <t>(07)julio montt salamanca_casa particular_esequielfernandez 4165 con esquina los satelites _cerrado08:45  (vende abarrotesarroz,aceites,mermeladas,atun,carnemolda,porotos)</t>
  </si>
  <si>
    <t xml:space="preserve">Casa particular </t>
  </si>
  <si>
    <t>(11) julio montt salamanca_el sureño _esequiel fernandez 4513</t>
  </si>
  <si>
    <t>(12) julio montt salamanca_pamer_monseñor carlos casanova 2984_cerrado 09:25</t>
  </si>
  <si>
    <t>(13) julio montt salamanca_ vesconia_ monseñor carlos casanova 2945_ cerrado 09:45</t>
  </si>
  <si>
    <t>(14) julio montt salamanca_multimark_monseñor carlos casanueva 2974_cerrado 09:35</t>
  </si>
  <si>
    <t>(17) julio montt salamanca_ s/n_ av macul 4249_cerrado 09:47</t>
  </si>
  <si>
    <t>Amasanderia-Abarrotes</t>
  </si>
  <si>
    <t>(18) julio montt salamanaca_san martin_av macul 4247_cerrado 09:47</t>
  </si>
  <si>
    <t>Panificadora</t>
  </si>
  <si>
    <t>(19) julio montt salamanca _sir froncis drake_av macul 4221_cerrado 09:48</t>
  </si>
  <si>
    <t>(20) julio montt salamanca_ kenito_av macul 4205</t>
  </si>
  <si>
    <t>Fiambreria</t>
  </si>
  <si>
    <t>(21) julio montt salamanca_doña carne_av macul 4185</t>
  </si>
  <si>
    <t>(22) julio montt salamanca _escudero 1955_av macul 4141</t>
  </si>
  <si>
    <t>(23) julio montt salamanca s/n_av macul 4221</t>
  </si>
  <si>
    <t xml:space="preserve">Verduleria </t>
  </si>
  <si>
    <t>(24) julio montt salamanca_pamer_av macul 4115_cerrado 09:57</t>
  </si>
  <si>
    <t>(27) julio montt salamanca _punto score_ av macul 4109</t>
  </si>
  <si>
    <t xml:space="preserve">Mayorista </t>
  </si>
  <si>
    <t>(28) julio montt salamanca_Distribuidora macul_av macul 4063</t>
  </si>
  <si>
    <t>Distribuidora</t>
  </si>
  <si>
    <t>(29) julio montt salamanca_punto copec_av macul 4033</t>
  </si>
  <si>
    <t>servi centro</t>
  </si>
  <si>
    <t>(30) julio montt salamanca _santa sofia_av macul 3967</t>
  </si>
  <si>
    <t xml:space="preserve">carniceria </t>
  </si>
  <si>
    <t>(33) julio montt salamanca_abuelo_av maucl 4034</t>
  </si>
  <si>
    <t>market</t>
  </si>
  <si>
    <t>(34) julio montt salamanca_el bodegon de macul_av macul 4244</t>
  </si>
  <si>
    <t>panaderia y pasteleria</t>
  </si>
  <si>
    <t>(37) julio montt salamanca_s/n av macul 4581_cerrado 10:26</t>
  </si>
  <si>
    <t>(45) julio montt salamanca_ donde bruno_av macul 4727</t>
  </si>
  <si>
    <t>botilleria y minimarket</t>
  </si>
  <si>
    <t>(47) julio montt salamanca_ oxxo _av macul 4850_ cerrao por que estaban en break time 10:55</t>
  </si>
  <si>
    <t>(49) julio montt salamanca_sra monica_luis durand 3467</t>
  </si>
  <si>
    <t>(51) julio montt salamanca_ zuckerhaus_arturogonzalez 3291</t>
  </si>
  <si>
    <t xml:space="preserve">panaderia - pasteleria </t>
  </si>
  <si>
    <t>(52) julio montt salamanca_ s/n_arturo gonzalez 3315</t>
  </si>
  <si>
    <t>verduleria</t>
  </si>
  <si>
    <t>(53)julio montt salamanca_s/N_ victor domingo silva 3216_</t>
  </si>
  <si>
    <t>quiosco</t>
  </si>
  <si>
    <t>(02) fray camilo henriquez_s/n_ huaras 5371</t>
  </si>
  <si>
    <t>(04) fray camilo henriquez_-lgn_vecinal 5480_cerrado 08:17</t>
  </si>
  <si>
    <t>panificadora</t>
  </si>
  <si>
    <t>(05) fray camilo henriquez_adriana_vecinal 5559</t>
  </si>
  <si>
    <t>(06) fray camilo henriquez_san roberto_av departamental 233</t>
  </si>
  <si>
    <t>carnes y abarrotes</t>
  </si>
  <si>
    <t>(07)fray camilo henriquez_manoe_vecinal 5659_cerrado 08:31</t>
  </si>
  <si>
    <t>botilleria y almacen</t>
  </si>
  <si>
    <t>(08)fray camilo henriquez_ dongusta ii_pasaje palhue 294_cerrado 08:35</t>
  </si>
  <si>
    <t xml:space="preserve">botilleria </t>
  </si>
  <si>
    <t>(09) fray camilo henriquez_ el amanecer_departamental 307_cerrado 08:40</t>
  </si>
  <si>
    <t>(13) fray camilo henriquez_myc_llico328</t>
  </si>
  <si>
    <t>(14)fray camilo henriquez_tito monje_av las industrias5320_cerrado 09:20</t>
  </si>
  <si>
    <t>pasteleria -panaderia- minimarket</t>
  </si>
  <si>
    <t>(15) fray camilo henriquez_la blandita_las industrias 5320</t>
  </si>
  <si>
    <t>carniceria</t>
  </si>
  <si>
    <t>(17) fray camilo henriquez _godamarket _av las industrias 5240</t>
  </si>
  <si>
    <t>(18) fray camilo henriquez_cyb_av las industrias 5240_cerrado 09:40</t>
  </si>
  <si>
    <t>(19) fray camilo henriquez_marta_armando moock 306_cerrado 09:37</t>
  </si>
  <si>
    <t>(20) fray camilo herniquez_paraiso_av las industrias 5180_cerrado:0941</t>
  </si>
  <si>
    <t>(22) fray camilo henriquez_s/n</t>
  </si>
  <si>
    <t>(23) fray camilo henriquez _ genesis_vacinal 4968</t>
  </si>
  <si>
    <t>(25) fray camilo henriquez_cristobal_vecinal 5179</t>
  </si>
  <si>
    <t>(27) fray camilo henriquez_me lance_haydn 5185_cerrado 10:40</t>
  </si>
  <si>
    <t>(29) fray camilo henriquez_ myc_vecinal 5340</t>
  </si>
  <si>
    <t xml:space="preserve">almacen </t>
  </si>
  <si>
    <t>(30) fray camilo henriquez_ dynomo_vecinal 5239</t>
  </si>
  <si>
    <t>(31) fray camilo henriquez_don fernando_jorge quevedo 299</t>
  </si>
  <si>
    <t>(32) fray camilo henriquez_s/n _las industrias 5477</t>
  </si>
  <si>
    <t>(02) su santidad juan xxiii_feria (jueves-domig 08:00 a 15:00) _Calle Padre Mariano Puga, entre Alcalde Pedro Alarcón y Juegos Infantiles</t>
  </si>
  <si>
    <t xml:space="preserve">feria </t>
  </si>
  <si>
    <t>(04) su santidad juan xiii_ el vecino _salomon sumar 3599 c_cerrado 08:40</t>
  </si>
  <si>
    <t>(05) su santidad juan xxiii_ s/n _ salomon summar 3599 a _cerrado 08:45</t>
  </si>
  <si>
    <t>(06) su santidad juan xiii_ s/n _ salomon sumar 3599 al costado esquina mah¿gdalena _ cerrado 08:52</t>
  </si>
  <si>
    <t>(08) su santidad juan xxiii_ s/n_ lino 3576_cerrado 09:00</t>
  </si>
  <si>
    <t>kiosko</t>
  </si>
  <si>
    <t>(09) su santidad juan xiii_lino 3593(calle magdalena) cerrado 09:00</t>
  </si>
  <si>
    <t>(10) su santidad juan xxiii_ s/n _magdalena 282_cerrado 09:03</t>
  </si>
  <si>
    <t>(11) su santidad juan xxiii_las 3 dulzuras _rieter 3598_cerrado09:07</t>
  </si>
  <si>
    <t>almcaen</t>
  </si>
  <si>
    <t>(12) su santidad juan xxiii_s/n_ esquina sprin ghill con drake</t>
  </si>
  <si>
    <t>(13) su santidad juan xxiii_carmen _ drake 321</t>
  </si>
  <si>
    <t>(14) su santidad juan xxiii_ centonia_ centica 3266</t>
  </si>
  <si>
    <t>paqueteria y bazar</t>
  </si>
  <si>
    <t>(15) su santidad juan xxiii_ s/n_ sierra bella 3258 esquina lucrecia fernandez</t>
  </si>
  <si>
    <t>casa particular</t>
  </si>
  <si>
    <t xml:space="preserve">(16) su santidad juan xxiii_ s/n_ sierra bella 3256 </t>
  </si>
  <si>
    <t>(18) su santidad juan xxiii_  natty_ sierra bella 3252</t>
  </si>
  <si>
    <t>bazar almacen</t>
  </si>
  <si>
    <t xml:space="preserve">(19) su santidad juan xxiii_santa catalina_padre marino puga 455 esquina magallanes </t>
  </si>
  <si>
    <t>(20) su santidad juan xxiii_don julian_ carlos fau 3393</t>
  </si>
  <si>
    <t>(22) su santidad juan xxiii_ s/n _jorge camming 3350</t>
  </si>
  <si>
    <t>kiosco</t>
  </si>
  <si>
    <t>(23) su santidad juan xxiii_ la plaza_ jorge camming 505 (plaza)</t>
  </si>
  <si>
    <t>(24) su santidad juan xxiii_s/n_comandante rieste 496</t>
  </si>
  <si>
    <t>(25) su santidad juan xxiii_el rey del lacteo_ comandante rieste 492</t>
  </si>
  <si>
    <t>(26) su santidad juan xxiii_ donde manuelito_san gregrio 3545</t>
  </si>
  <si>
    <t>botileria</t>
  </si>
  <si>
    <t>(28) su santidad juan xxiii_ el rey del asado_ pedro alarcon 496</t>
  </si>
  <si>
    <t>(29) su santidad juan xxiii_ donde la mary_ pedro alarcon 474_cerrado 11:01</t>
  </si>
  <si>
    <t>(30)su santidad juan xxiii_takeda_ carlos fau 3489</t>
  </si>
  <si>
    <t>(32)su santidad juan xxiii_ tomas_ mateo toro zambrano 3536 _ cerado 11:17</t>
  </si>
  <si>
    <t xml:space="preserve">(33)su santidad juan xxiii_s/n_ mateo toro zambrano 3656 esquina constancia </t>
  </si>
  <si>
    <t>(34)su santidad juan xxiii_sureña _ leal 405 -cerrado 11:27</t>
  </si>
  <si>
    <t>(35)su santidad juan xxiiin_s/n_leal400_cerrado 11:27</t>
  </si>
  <si>
    <t>(36)su santidad juan xxiii_ almacen_mato toro  zambrano3966</t>
  </si>
  <si>
    <t>(37)su santidad juan xxiii_la estacion_mateo toro zambrano 3965</t>
  </si>
  <si>
    <t>alamcen minimarket</t>
  </si>
  <si>
    <t>(39)su santidad juan xxiii_almacen_los copihues 4015</t>
  </si>
  <si>
    <t>(40) su santidad juan xiii_</t>
  </si>
  <si>
    <t>(41) su santidad juan xiii_almacen_las industrias 345</t>
  </si>
  <si>
    <t>(42) su santidad juan xiii_almacen_progreso357</t>
  </si>
  <si>
    <t>(43) su santidad juan xiii_helado y imresiones_ alvarez toledo 338</t>
  </si>
  <si>
    <t>helados y impresiones</t>
  </si>
  <si>
    <t>(45) su santidad juan xiii_ almacen_mariano puga 3768</t>
  </si>
  <si>
    <t>(46)su santidad juan xxiii_botilleria_ mariano puga 3760</t>
  </si>
  <si>
    <t>(48)su santidad juan xxiii_carniceria _ mariano puga 3631</t>
  </si>
  <si>
    <t>(49)su santidad juan xxiii_s/n_los copihues 3533</t>
  </si>
  <si>
    <t>pasteleria</t>
  </si>
  <si>
    <t xml:space="preserve">(2) la araucania. juan meyer esquina con coronel. </t>
  </si>
  <si>
    <t>(3) la araucania. coronel 8226. sin nombre. cerrado 8:24 am</t>
  </si>
  <si>
    <t>(4) la araucania. coronel 8255. sin nombre</t>
  </si>
  <si>
    <t>(7) la araucania. cuatro oriente 8330. sin nomnbre. cerrado a las 8:38</t>
  </si>
  <si>
    <t xml:space="preserve">(10) la araucania. san gregorio 0628. sin nombre. panaderia. </t>
  </si>
  <si>
    <t>panaderia</t>
  </si>
  <si>
    <t>(11) la araucania. san gregorio 0599 (al lado). maranatha. cerrado a las 9:02</t>
  </si>
  <si>
    <t xml:space="preserve">(12) la araucania. mercado modelo san gregorio. </t>
  </si>
  <si>
    <t>fotocopias</t>
  </si>
  <si>
    <t>(13) la araucania. mercado modelo de san gregorio. don raul. cerrado</t>
  </si>
  <si>
    <t>(14) la araucania. mercado modelo san gregorio. flor del mar.  cerrado</t>
  </si>
  <si>
    <t>cevicheria</t>
  </si>
  <si>
    <t xml:space="preserve">(15) la araucania. 5 oriente 8270. sin nombre. poca visibilidad hacia el interior. </t>
  </si>
  <si>
    <t xml:space="preserve">(16) la araucania. san gregorio con angol. sin nombre. </t>
  </si>
  <si>
    <t>(17) la araucania. esquina angol con san gregorio. . millenium. local muy grande.</t>
  </si>
  <si>
    <t>panaderia, pescaderia y almacen</t>
  </si>
  <si>
    <t xml:space="preserve">(18) la araucania. los angeles con juan meyer. sin nombre. </t>
  </si>
  <si>
    <t>(19) la araucania. juan meyer con 8 oriente. (botilleria abiera a las 9:51)</t>
  </si>
  <si>
    <t>(20) la araucania. 8 oritente 8120. la isla. cerrado</t>
  </si>
  <si>
    <t>(21) la araucania.  elvis. no se hace registro, lugar peligroso con personas en un estado de embriaguez</t>
  </si>
  <si>
    <t>(22) la araucania. valdivia con 8 oriente. sin nombre</t>
  </si>
  <si>
    <t xml:space="preserve">(23) la araucania. valdivia 0929 (al lado). sin nombre. </t>
  </si>
  <si>
    <t>(24) la araucania. 7 oriente.  sin nombre</t>
  </si>
  <si>
    <t>(25) la araucania. la reina de los vegas</t>
  </si>
  <si>
    <t>(26) la araucania. juan meyer con angol. los chamos</t>
  </si>
  <si>
    <t>(27) la araucania. juan meyer con 4 oriente. sin nombre</t>
  </si>
  <si>
    <t>(28) la araucania. 4 oriente 8122. adunay.  cerrado a las 10:20</t>
  </si>
  <si>
    <t xml:space="preserve">(29) la araucania. 3 oriente con juan meyer. la artesana. </t>
  </si>
  <si>
    <t>alamcen</t>
  </si>
  <si>
    <t>(30) la araucania. 1 oriente con 3 norte. sin nombre</t>
  </si>
  <si>
    <t>(31) la araucania. 1 oriente con 3 norte. sin nombre</t>
  </si>
  <si>
    <t>(32) la araucania. sin nombre cerrado.</t>
  </si>
  <si>
    <t>botilleria y minimercado</t>
  </si>
  <si>
    <t>(33) la araucania. don agustin y tomas</t>
  </si>
  <si>
    <t>(34) la araucania. juan 0744. sin nombre</t>
  </si>
  <si>
    <t>(35) la araucania. osorno con valdivia. sin nombre</t>
  </si>
  <si>
    <t>(36) la araucania. coronel con valdivia. don german. cerrado.</t>
  </si>
  <si>
    <t>(37) la araucania. cinco oriente 8080. dylan</t>
  </si>
  <si>
    <t>(39) la araucania. 6 oriente frente a 8069. sin nombre. cerrado</t>
  </si>
  <si>
    <t>(40) la araucania. 6 oriente con 4 norte. sin nombre.</t>
  </si>
  <si>
    <t>(42) la araucania. tome 0816. la chica perez. cerrado</t>
  </si>
  <si>
    <t>(43) la araucania. tome 0830. minimarket tome</t>
  </si>
  <si>
    <t>(44) la araucania. 7 oriente 8022.  el mercadito</t>
  </si>
  <si>
    <t>(45) la araucania. tome 0874- mayorista pablito.  confites y pasteles</t>
  </si>
  <si>
    <t>mayorista</t>
  </si>
  <si>
    <t>restauracion</t>
  </si>
  <si>
    <t>(8 malaquias concha) (22 poeta oscar castro). Parral esquina con linares. Sin nombre</t>
  </si>
  <si>
    <t>(13 malaquias concha) Linquen 0699. Di mary. Cerrado 11:53</t>
  </si>
  <si>
    <t>(15) Malaquias concha. Coronel esquina con linares. Mr Flow. venta de sandwich</t>
  </si>
  <si>
    <t xml:space="preserve">(16) malaquias concha. Coronel 7862. Helados. </t>
  </si>
  <si>
    <t>(18) Malaquias concha. Sin nombre. Coronel 7945 (al lado derecho) Cerrado. sin nombre</t>
  </si>
  <si>
    <t>(20) Malaquias concha. La negra. pollo a las brasas</t>
  </si>
  <si>
    <t>(28 malaquias concha) (30 poeta oscar castro). Reina del pacifico.  cevicheria)</t>
  </si>
  <si>
    <t>(18) poeta oscar castro. el tabo 7915 (al frente). comida al paso los cazagolosos. food truck. cerrado 11:02</t>
  </si>
  <si>
    <t>(22 poeta oscar castro). (8 malaquias concha)  Parral esquina con linares. Sin nombre</t>
  </si>
  <si>
    <t>(30 poeta oscar castro)(28 malaquias concha) . Reina del pacifico.  cevicheria)</t>
  </si>
  <si>
    <t>(02) julio montt salamanca_ lo macul contigo desde 1970_ victor domingo silva 3210_cerrado 08:00</t>
  </si>
  <si>
    <t>(08) julio montt salamanca_ el rincon de los morales comida rapida _esequiel fernandez 4360_cerrado 09:00</t>
  </si>
  <si>
    <t>(09) julio montt salamanca_el bajon de goku comida rapida carrito_las galaxcias  2933_cerrado 09:10</t>
  </si>
  <si>
    <t>(10) julio montt salamanca_ casa vende pastel de choclo y humitas_ las galaxcias 2974_cerrado 09:12</t>
  </si>
  <si>
    <t>(15) julio montt salamanca_sushi uchimasu_monseñor carlos casanueva 2968_cerrado 09:40</t>
  </si>
  <si>
    <t>(16) julio montt salamanca_bajou de isi comida rapida _ exequiel fernandez 4489_ cerrado 09:45</t>
  </si>
  <si>
    <t>(26) julio montt salamanca_ heladeria danys _ av macul 4111_ cerrado 10:00</t>
  </si>
  <si>
    <t>(31) julio montt salamanca_sushi roll s tock_avenida macul esquina nicanor molinares s/n_cerrado 10:10</t>
  </si>
  <si>
    <t>(32) julio montt salamanca _heladeria panaderia artesanal _av macul 4034_cerrado 10:10</t>
  </si>
  <si>
    <t>(35) julio montt salamanca_sushibar nikke_av macul 4324_cerrado 10:18</t>
  </si>
  <si>
    <t>(36) julio montt salamanca_pizza pizza_av macul 4480</t>
  </si>
  <si>
    <t>(38) julio montt salamanca_ sushi tohiro _av macul 4593_ carrado 10:27</t>
  </si>
  <si>
    <t>(39) julio montt salamanca_sushi kamisishi_av macul 4593_ cerrado 10:28</t>
  </si>
  <si>
    <t>(40) julio montt salamanca _ restaurant el puro peru_ av macul 4607_cerrado 10:29</t>
  </si>
  <si>
    <t>(41) julio montt salamanca_ sandwicheria sargento pimienta_av macul 4661_cerrado 10:30</t>
  </si>
  <si>
    <t>(42) julio montt salamanca_restaurant he yi comida china_av macul 4727_cerrado 10:35</t>
  </si>
  <si>
    <t>(43) julio montt salamanca_ pollos grill comida rapida_av macul 4729_cerrado 10:36</t>
  </si>
  <si>
    <t>(44) julio montt salamanca_restaurant pizza y beer_av macul 4782_cerrado 10:39</t>
  </si>
  <si>
    <t>(46) julio montt salamanca_ heladeria grido _av macul 4850_cerrado 10:55</t>
  </si>
  <si>
    <t>(48) julio montt salamanca_sushi furijia_av macul 4726_cerrado 10:56</t>
  </si>
  <si>
    <t>(50) julio montt salamanca - donde la nonita empanadas _pasaje pedro prado 4125_cerrado 11:10</t>
  </si>
  <si>
    <t>(54) julio montt salamanca_comida china restaurant yin he_victor domingo silva 3216_cerrado 11:30</t>
  </si>
  <si>
    <t>(10) fray camilo henriquez_restaurant  fu yuan comida china_departamental 311_cerrado 09:01</t>
  </si>
  <si>
    <t>(11) fray camilo henriquez_sushi raiman fusion_departamental 303</t>
  </si>
  <si>
    <t>(16) fray camilo henriquez _sanwicheria y restauran vianca maria_las industrias 5335 _cerrado 09:23</t>
  </si>
  <si>
    <t>(21)fray camilo henriquez_comida rapida al paso la buena mano_la piramide 307_cerrado 09:45</t>
  </si>
  <si>
    <t>(24) fray camilo henrquez_comida china gam fu coy _vecinal 4935_cerrado 10:17</t>
  </si>
  <si>
    <t>(26)fray camilo henriquez_s/n casa veden colaciones ,pan,sopaipillas y empanadas_av haydn 5220_cerrado 10:30</t>
  </si>
  <si>
    <t>(28) fray camilo henriquez_el rincon comida rapida_visviri 5162_cerrado 10:53</t>
  </si>
  <si>
    <t>(33) fray camilo henriquez_la pica de luca_av las industrias 5468</t>
  </si>
  <si>
    <t>(01) su santidad juan xxiii_donde la titi quiosco comida rapida_alcalde alarcon 359  con esquina padre marino puga _cerrado 07:45</t>
  </si>
  <si>
    <t>(03) su santidad juan xiii_comida china shun jing _alcalde pedro alarcon 316_cerrado 08:35</t>
  </si>
  <si>
    <t>(07) su santidad juanxiii: casa vende pizzas torrez de pizza_ lino 3580_cerrado 08:58</t>
  </si>
  <si>
    <t>(17) su santidad juan xxiii_ local de jugos y smooties _ sierra bella 3552</t>
  </si>
  <si>
    <t>(21) su santidad Juan xiii_padre mariano paga 498_tia moríamos comida rapida</t>
  </si>
  <si>
    <t xml:space="preserve">(38)su santidad juan xxiii_comida rapida el bajon de la cony_mateo de toro zambrano 4038 </t>
  </si>
  <si>
    <t>(44)su santidad juan xxiii_ comida rapida e pollo barrio_padre mariano puga 3870</t>
  </si>
  <si>
    <t xml:space="preserve">(47)su santidad juan xxiii_pizzas -jugos_padre mariano puga 3744 </t>
  </si>
  <si>
    <t>(5) la araucania. san gregorio con coronel 0729. yili comida china. cerrado a las 8:30</t>
  </si>
  <si>
    <t>(6) la araucania. coronel 8329- imperio de los lomos. cerrado 8:33</t>
  </si>
  <si>
    <t>(8) la araucania. san gregorio frente a la calle 3 oriente. el tata</t>
  </si>
  <si>
    <t xml:space="preserve">(37) la araucania. coronel con valdivia. vanisushi. </t>
  </si>
  <si>
    <t>(41) la araucania. tome 831. comida china. cerrado</t>
  </si>
  <si>
    <t xml:space="preserve">(46) la araucania. tome con 8 oriente. sin nombre. </t>
  </si>
  <si>
    <t>via publica</t>
  </si>
  <si>
    <t>(2 malaquias concha y poeta oscar castro)</t>
  </si>
  <si>
    <t>(4 Malaquias concha y poeta oscar castro)</t>
  </si>
  <si>
    <t>(5 malaquias concha y poeta oscar castro) sin nombre)</t>
  </si>
  <si>
    <t>(7 malaquias concha). (21 poeta oscar castro). En la entrada del cesfam</t>
  </si>
  <si>
    <t>(10 malaquias concha) (24 poeta oscar castro). Sin nombre. lota esquina con linares</t>
  </si>
  <si>
    <t>(2 poeta oscar castro y malaquias concha)</t>
  </si>
  <si>
    <t>(4 poeta oscar castro y Malaquias concha)</t>
  </si>
  <si>
    <t>(5 poeta oscar castro y malaquias concha sin nombre)</t>
  </si>
  <si>
    <t>(11) Poeta oscar castro. Cardenal silva henriquez esquina con 5 norte. Sin nombre</t>
  </si>
  <si>
    <t>(20) poeta oscar castro. linares 0465. carrito de comida. no registra nombre</t>
  </si>
  <si>
    <t>(21 poeta oscar castro). (7 malaquias concha).  En la entrada del cesfam</t>
  </si>
  <si>
    <t>(24 poeta oscar castro). (10 malaquias concha) Sin nombre. lota esquina con linares</t>
  </si>
  <si>
    <t>(01) julio montt salamanca_ sin nombre a fuera de la escuela 07:30 esta afuera de la escuela _pedro prado 4350</t>
  </si>
  <si>
    <t>(25) julio montt salamanca_ s/n carrito vende miel y encurtidos en un tarro de mezcla aceitunas _av macul 4115</t>
  </si>
  <si>
    <t>(01) fray camilo henriquez_s/n_quillagua 5374</t>
  </si>
  <si>
    <t>(03) fray camilo henriquez_s/n_esquina vecinal con pasaje chitima</t>
  </si>
  <si>
    <t>(12) fray camilo henriquez_food truck s/n_llico 328</t>
  </si>
  <si>
    <t>(34) fray camilo henriquez_s/n carrito sopaipillas y completos_av departamental esquina las industrias</t>
  </si>
  <si>
    <t>(35) fray camilo henriquez_s/n puesto de apoderado a fuera de la escuela se coloca a la salida de los niños_12:20</t>
  </si>
  <si>
    <t>(27) su santidad juan xiii_alcalde pedro alarcon 496 _s/n_carrito</t>
  </si>
  <si>
    <t>(1) la araucania. juan meyer con coronel. sin nombre</t>
  </si>
  <si>
    <t>(9) la araucania. frente a san gregorio 0628. carrito que vende sopaipillas</t>
  </si>
  <si>
    <t>AA</t>
  </si>
  <si>
    <t>escuela</t>
  </si>
  <si>
    <t>Zona</t>
  </si>
  <si>
    <t>ds_res_d_frut</t>
  </si>
  <si>
    <t>ds_res_d_jugo</t>
  </si>
  <si>
    <t>ds_res_d_cer</t>
  </si>
  <si>
    <t>ds_res_d_frut_seca</t>
  </si>
  <si>
    <t>ds_res_d_frut_seco</t>
  </si>
  <si>
    <t>ds_res_d_lact</t>
  </si>
  <si>
    <t>ds_res_d_tecaf</t>
  </si>
  <si>
    <t>ds_res_d_pan</t>
  </si>
  <si>
    <t>ds_res_d_acom</t>
  </si>
  <si>
    <t>ds_res_d_masa_dul</t>
  </si>
  <si>
    <t>ds_res_d_menu</t>
  </si>
  <si>
    <t>ds_res_a_aper</t>
  </si>
  <si>
    <t>ds_res_a_entr</t>
  </si>
  <si>
    <t>ds_res_a_plat_leg</t>
  </si>
  <si>
    <t>ds_res_a_plat_pesc</t>
  </si>
  <si>
    <t>ds_res_a_post</t>
  </si>
  <si>
    <t>ds_res_a_beb</t>
  </si>
  <si>
    <t>ds_res_a_menu</t>
  </si>
  <si>
    <t>ds_res_o_frut</t>
  </si>
  <si>
    <t>ds_res_o_jugo</t>
  </si>
  <si>
    <t>ds_res_o_cer</t>
  </si>
  <si>
    <t>ds_res_o_lact</t>
  </si>
  <si>
    <t>ds_res_o_tecaf</t>
  </si>
  <si>
    <t>ds_res_o_pan</t>
  </si>
  <si>
    <t>ds_res_o_acom</t>
  </si>
  <si>
    <t>ds_res_o_masa_dul</t>
  </si>
  <si>
    <t>ds_res_o_menu</t>
  </si>
  <si>
    <t>ds_res_c_aper</t>
  </si>
  <si>
    <t>ds_res_c_entr</t>
  </si>
  <si>
    <t>ds_res_c_plat_leg</t>
  </si>
  <si>
    <t>ds_res_c_plat_pesc</t>
  </si>
  <si>
    <t>ds_res_c_post</t>
  </si>
  <si>
    <t>ds_res_c_beb</t>
  </si>
  <si>
    <t>ds_res_c_menu</t>
  </si>
  <si>
    <t>Total_disp_SI</t>
  </si>
  <si>
    <t>dns_res_sn_sal</t>
  </si>
  <si>
    <t>dns_res_sn_dul</t>
  </si>
  <si>
    <t>dns_res_sal_adere</t>
  </si>
  <si>
    <t>dns_res_post</t>
  </si>
  <si>
    <t>dns_res_masa_dul</t>
  </si>
  <si>
    <t>dns_res_masa_sal</t>
  </si>
  <si>
    <t>dns_res_com_rap</t>
  </si>
  <si>
    <t>dns_res_gas</t>
  </si>
  <si>
    <t>dns_res_beb_dep</t>
  </si>
  <si>
    <t>var_res_car</t>
  </si>
  <si>
    <t>var_res_pesc</t>
  </si>
  <si>
    <t>var_res_leg</t>
  </si>
  <si>
    <t>var_res_post</t>
  </si>
  <si>
    <t>var_res_ens</t>
  </si>
  <si>
    <t>pub_res_guias</t>
  </si>
  <si>
    <t>pub_res_ley20606</t>
  </si>
  <si>
    <t>pub_res_ofer</t>
  </si>
  <si>
    <t>pub_res_coloc_des</t>
  </si>
  <si>
    <t>pub_res_desc</t>
  </si>
  <si>
    <t>Ot_res_nutr</t>
  </si>
  <si>
    <t>Ot_res_mes</t>
  </si>
  <si>
    <t>Ot_res_sal</t>
  </si>
  <si>
    <t>Ot_res_agu</t>
  </si>
  <si>
    <t>Total_rest_SI</t>
  </si>
  <si>
    <t>Restauración</t>
  </si>
  <si>
    <t>(5) coronel 8255 meggi</t>
  </si>
  <si>
    <t>(6) san gregorio 0729 comida china yli</t>
  </si>
  <si>
    <t>(7) coronel 8239 el imperio de los lomos</t>
  </si>
  <si>
    <t>(29) la araucania.coronel 7996 rapido y delicioso</t>
  </si>
  <si>
    <t>(30) la araucania. Tome 0714 comia rapida pollos asados</t>
  </si>
  <si>
    <t>(35) la araucania. Tome 831comida china lomg yu</t>
  </si>
  <si>
    <t xml:space="preserve">(38) la araucania. tome con 8 oriente . sin nombre. </t>
  </si>
  <si>
    <t>(42) la araucania. Valdivia 781 cerrado sushi Vamsushi</t>
  </si>
  <si>
    <t xml:space="preserve">() la araucania. </t>
  </si>
  <si>
    <t>(01) poeta oscar castro, combarbala 510 local 5 local comida rapida pedro juan 6 diego CERRADO</t>
  </si>
  <si>
    <t>(09) poeta oscar castro, tome 406 sushi zao CERRADO</t>
  </si>
  <si>
    <t>(13) poeta oscar castro, tome 0496  sushi the sushi house  CERRADO</t>
  </si>
  <si>
    <t>(18) cardenal silva henriquez 8019. la pica del rucio</t>
  </si>
  <si>
    <t>(22) cardenal silva henriquez 8115. cerrado. comiad china para llevar. cerrado</t>
  </si>
  <si>
    <t xml:space="preserve">(47) parral llegando a yungay. </t>
  </si>
  <si>
    <t>malaquias Concha</t>
  </si>
  <si>
    <t>(2) la serena con combarbala. cerrado</t>
  </si>
  <si>
    <t>(39) malaquias concha) Linquen esquina linares pollo asado sin nombre local CERRADO</t>
  </si>
  <si>
    <t>(12) vecinal con camilo lopez de arce , comida china gmfu loy Cerrado</t>
  </si>
  <si>
    <t>(13) pica con pozo del monte, rncon del pollo Cerrado</t>
  </si>
  <si>
    <t xml:space="preserve">(17) departamental 208, sushi nikei Cerrado </t>
  </si>
  <si>
    <t>(20) departamenta 218 comida china fortuna</t>
  </si>
  <si>
    <t>(26) las industrias 5468, La pica de luca</t>
  </si>
  <si>
    <t xml:space="preserve">(28) yico 305, comida rapida local viancamara Cerrado </t>
  </si>
  <si>
    <t>(34) la piraide 30 , comida rapida</t>
  </si>
  <si>
    <t>(40) departamental 311 a, raimond sushi</t>
  </si>
  <si>
    <t xml:space="preserve">(41) departamental 311 comida china fu yuan </t>
  </si>
  <si>
    <t>Julio montt salamanca</t>
  </si>
  <si>
    <t>(3) macul con victor domingo silva. comida china yin ha. cerrado</t>
  </si>
  <si>
    <t>(4) macul 4324. peruvian japanesse. CERRADO</t>
  </si>
  <si>
    <t xml:space="preserve">(5) macul con luis durand. pizza pizza </t>
  </si>
  <si>
    <t>(6) macul 4727. furijua sushi. cerrado</t>
  </si>
  <si>
    <t>(7) macul 4850. oh my pizza CERRADO</t>
  </si>
  <si>
    <t>(8) macul 4850. GRIDO CERRADO</t>
  </si>
  <si>
    <t>(9) macul 4781. pizza y beer cerrado</t>
  </si>
  <si>
    <t xml:space="preserve">(10). Macul 4729. pollo grill. </t>
  </si>
  <si>
    <t xml:space="preserve">(12) Macul 4721. comida china peruana. </t>
  </si>
  <si>
    <t>(13) macul 4661. more sushi delivery. cerrado.</t>
  </si>
  <si>
    <t>(14) macul 4597. fushiro sushi</t>
  </si>
  <si>
    <t xml:space="preserve">(17). macul esquina con victor domingo silva. Pollo asado. </t>
  </si>
  <si>
    <t xml:space="preserve">(25). macul 4169. polleria delicia peruana. </t>
  </si>
  <si>
    <t>(29). Macul 4111. Heladeria danys. Cerrado.</t>
  </si>
  <si>
    <t>(40) calle ocho con exequiel fernandez. el rincon de los morales. comida rapida.</t>
  </si>
  <si>
    <t xml:space="preserve">su santidad juan XIII </t>
  </si>
  <si>
    <t>(2). los copihues 03475. donde la titi. comida rapida, te y cafe. CERRADO.</t>
  </si>
  <si>
    <t>(3). pedro alarcon 319. comida china shung jing. CERRADO.</t>
  </si>
  <si>
    <t xml:space="preserve">(15). mateo de toro y zambrano 4038. el bajon de la cony. comida rapida. </t>
  </si>
  <si>
    <t>(18). padre mariano puga 3867. the after chicken. pollo asado con papas fritas. CERRADO</t>
  </si>
  <si>
    <t>(19)- constancia con padre mariano puga. pizzas. CERRADO</t>
  </si>
  <si>
    <t>(28). donde positivo y negativo.. CERRADO</t>
  </si>
  <si>
    <t>(32). pollo asado con papas fritas. CERRADO</t>
  </si>
  <si>
    <t>(38). pedro alarcon 469. yong cheng. CERRADO</t>
  </si>
  <si>
    <t>(43)- cerro bellan 3252. Cafeteria, batidos saludables.</t>
  </si>
  <si>
    <t>Vía Pública</t>
  </si>
  <si>
    <t>(1) la araucania. juan meyer con coronel. Los del kii</t>
  </si>
  <si>
    <t>(9) la araucania. Al frente de la panaderia traihen con san gregorio</t>
  </si>
  <si>
    <t>(11) la araucania. frente a san gregorio 0628. carrito que vende sopaipillas</t>
  </si>
  <si>
    <t>la Araucania</t>
  </si>
  <si>
    <t>(28) tome esquina con coronel. carrito de completos con papas fritas</t>
  </si>
  <si>
    <t>(19) poeta oscar castro.cardenal silva henriquez esquina 5 norte carrito sopaipillas</t>
  </si>
  <si>
    <t>(36) parral con linares.  cerrado</t>
  </si>
  <si>
    <t xml:space="preserve">(32) Malaquias concha y poeta oscar castro. combarbala afuera del registro cibil . carrito venta snak dulces y salados , </t>
  </si>
  <si>
    <t xml:space="preserve">(34) Malaquias concha.cardenal silva henriquez esquina linares, puesto de verduras </t>
  </si>
  <si>
    <t xml:space="preserve">(35) Malaquias concha. linares esquina parral. carrito de sopaipillas </t>
  </si>
  <si>
    <t xml:space="preserve">(37) Malaquias concha. linares frente al bandejon carrito de sopaipillas </t>
  </si>
  <si>
    <t>(40) Malaquias concha. linares esquina coronel mr flow  CERRADO</t>
  </si>
  <si>
    <t>(21) esfuerzo con padre mariano puga. ENSALADAS</t>
  </si>
  <si>
    <t>(33). pedro alarcon con san gregorio. Verduras.</t>
  </si>
  <si>
    <t>(34) pedro alarcon con san gregorio. sopaipillas</t>
  </si>
  <si>
    <t>(41). mateo de toro y zambrano con mariano puga. VERDULERIA</t>
  </si>
  <si>
    <t>(44). magdalena con salomon sumar. DULCES Y SOPAIPILLAS.</t>
  </si>
  <si>
    <t>Abastecimiento</t>
  </si>
  <si>
    <t>(2) coronel esquina con juan meyer. CERRADO</t>
  </si>
  <si>
    <t>(3) coronel 8226. CERRADO</t>
  </si>
  <si>
    <t>(4) dos norte 0745. CERRADO</t>
  </si>
  <si>
    <t>(8) cuatro oriente 8298. CERRADO</t>
  </si>
  <si>
    <t xml:space="preserve">(10) la araucania. Traiguen esquina san gregorio panaderiapopular. </t>
  </si>
  <si>
    <t>(12) la araucania. San gregorio 514</t>
  </si>
  <si>
    <t>(13) la araucania. la araucania. San gregorio 514</t>
  </si>
  <si>
    <t>(14) san gregorio 514 local 42. flor del mar . CERRADO</t>
  </si>
  <si>
    <t>marisqueria</t>
  </si>
  <si>
    <t>(15) san gregorio 0605. agua puruficada don nicanocr ochoa. CERRADO</t>
  </si>
  <si>
    <t>venta de agua purificada</t>
  </si>
  <si>
    <t>(16) san gregorio 0597 maranatha . CERRADO</t>
  </si>
  <si>
    <t>(17) la araucania. Psaje 4 oriente esquina juan meller</t>
  </si>
  <si>
    <t>(18) juan meyer 0656. CERRADO</t>
  </si>
  <si>
    <t>(19) la araucania. 3 norte 0575</t>
  </si>
  <si>
    <t>(20) la araucania. 1 oritente con 3 norte</t>
  </si>
  <si>
    <t xml:space="preserve">(21) la araucania.  Valdivias esquina 3 poniente </t>
  </si>
  <si>
    <t>(22) la araucania. Coronel esquina con valdivia</t>
  </si>
  <si>
    <t>(23) la araucania. Valdivia con esquina coronel</t>
  </si>
  <si>
    <t>almacen juanito</t>
  </si>
  <si>
    <t>(24) valdivia esquina con coronel. don agustin y tomas. CERRADO</t>
  </si>
  <si>
    <t>(25) la araucania. 5 norte 0773</t>
  </si>
  <si>
    <t>almacen rademan</t>
  </si>
  <si>
    <t>(26) cinco nte 0877. CERRADO</t>
  </si>
  <si>
    <t>(27) la araucania. Tome esquina coronel</t>
  </si>
  <si>
    <t>carniceria la economica</t>
  </si>
  <si>
    <t xml:space="preserve">(31) la araucania. Tome 0695 </t>
  </si>
  <si>
    <t>almacen belen</t>
  </si>
  <si>
    <t>(32) la araucania. lirquen esquina con tome . CERRADO</t>
  </si>
  <si>
    <t>(33) tome 0676. sin nombre CERRADO</t>
  </si>
  <si>
    <t>(34) tome 0816. CERRADO</t>
  </si>
  <si>
    <t xml:space="preserve">(36) la araucania. Tome 0830 A </t>
  </si>
  <si>
    <t>almacen tome</t>
  </si>
  <si>
    <t>(37) la araucania. tome 0874- mayorista pablito.  confites y pasteles</t>
  </si>
  <si>
    <t>(44) la araucania. juan meyer con angol. los chamos</t>
  </si>
  <si>
    <t>(3). combarbala 0334</t>
  </si>
  <si>
    <t>(4). eterno campeon. cerrado</t>
  </si>
  <si>
    <t>(5). algarrobo 7879. SN. cerrado</t>
  </si>
  <si>
    <t>(6). tome 294. minimcercado emanuel 2. cerrado</t>
  </si>
  <si>
    <t>poeta Oscar Castro</t>
  </si>
  <si>
    <t>(7) tome 406. negro deivid. cerrado</t>
  </si>
  <si>
    <t>(8) tome 406. john spa. cerrado</t>
  </si>
  <si>
    <t>fiambreria</t>
  </si>
  <si>
    <t>(10) tome 406. la estrella</t>
  </si>
  <si>
    <t xml:space="preserve">(11) tome 0475. sin nombre. </t>
  </si>
  <si>
    <t>distribuidora</t>
  </si>
  <si>
    <t>(12) tome 0479. jany.</t>
  </si>
  <si>
    <t>tostaduria</t>
  </si>
  <si>
    <t>(14) tome 0496. tio lucho. cerrado</t>
  </si>
  <si>
    <t>(15) cardenal silva henriquez 8003. el diamante. cerrado</t>
  </si>
  <si>
    <t>(16) cardenal silva henriquez con tome. la familia.</t>
  </si>
  <si>
    <t xml:space="preserve">(17) cardenal silva henriquez 7996. las delicias. </t>
  </si>
  <si>
    <t>(20) valdivia con cardenal silva henriquez. sin nombre. cerrrado</t>
  </si>
  <si>
    <t>(21) cardenal silva henriquez 8102- el sol</t>
  </si>
  <si>
    <t>(23) tome 0550. santa daisy</t>
  </si>
  <si>
    <t>(24) tome 0596. reina del pacifico</t>
  </si>
  <si>
    <t>(25) 5 norte con 2 oriente</t>
  </si>
  <si>
    <t>(26) poeta oscar castro.2 oriente 8012</t>
  </si>
  <si>
    <t xml:space="preserve">(27) tome 0614. </t>
  </si>
  <si>
    <t>(28) tome 0608. cerrado</t>
  </si>
  <si>
    <t>(29) lota 7970. S.N</t>
  </si>
  <si>
    <t xml:space="preserve">(30) poeta oscar castro. tome 0664 CERRADO </t>
  </si>
  <si>
    <t>almacen los negritos</t>
  </si>
  <si>
    <t>(31) poeta oscar castro. combarbala 0652</t>
  </si>
  <si>
    <t>(33) cardenal silva henriquez con concon. montes de urbina. cerrado</t>
  </si>
  <si>
    <t>distrbuidora</t>
  </si>
  <si>
    <t>(38) lirquen con linares.  cerrado</t>
  </si>
  <si>
    <t>(41) coronel 7887. sin nombre</t>
  </si>
  <si>
    <t>(42) tome 0665 B. sin nombre</t>
  </si>
  <si>
    <t>(43) rico mote con huesillos. cerrado</t>
  </si>
  <si>
    <t>(44) petorca 7754. sin nombre</t>
  </si>
  <si>
    <t>(45) petorca 7775. la campeona</t>
  </si>
  <si>
    <t>(46) quilpue 7774. sin nombre</t>
  </si>
  <si>
    <t>(48) los nietos</t>
  </si>
  <si>
    <t>(49) linares 0664. srta anita</t>
  </si>
  <si>
    <t>(50) linares con lirquen. don lucho. cerrrado</t>
  </si>
  <si>
    <t>(51) coronel 7779. rouly botilleria. cerrado</t>
  </si>
  <si>
    <t>botilleria.</t>
  </si>
  <si>
    <t>(3) malaquias concha. combarbala 0334</t>
  </si>
  <si>
    <t>(4) malaquias concha. eterno campeon. cerrado</t>
  </si>
  <si>
    <t>(5) malaquias concha. algarrobo 7879. SN. cerrado</t>
  </si>
  <si>
    <t>(1) pedro mariano puga esquina pedro alarcon</t>
  </si>
  <si>
    <t>panaderia delicias copihue</t>
  </si>
  <si>
    <t xml:space="preserve">(2) pedro alarcon 314 Cerrado </t>
  </si>
  <si>
    <t>almacen sara y felipe</t>
  </si>
  <si>
    <t xml:space="preserve">(5) pedro alarcon esquina con salomon sumar  Cerrado </t>
  </si>
  <si>
    <t xml:space="preserve">almacen el vecino </t>
  </si>
  <si>
    <t xml:space="preserve">(6) alvarez de toledo 338 </t>
  </si>
  <si>
    <t xml:space="preserve">(7) padre mariano puga esquina el progreso </t>
  </si>
  <si>
    <t xml:space="preserve">(8) padre mariano puga con industrias </t>
  </si>
  <si>
    <t>minimarket valentina</t>
  </si>
  <si>
    <t xml:space="preserve">(9) padre mariano puga con industria </t>
  </si>
  <si>
    <t>almacen el trebol</t>
  </si>
  <si>
    <t>(10) comercio 1404</t>
  </si>
  <si>
    <t>carnes gyv</t>
  </si>
  <si>
    <t>(11) los copihues 407</t>
  </si>
  <si>
    <t xml:space="preserve">(12) industri con los copihues </t>
  </si>
  <si>
    <t>almacen copihues</t>
  </si>
  <si>
    <t>(13) mateo toro de zambrano 3965</t>
  </si>
  <si>
    <t>minimarket la estacion</t>
  </si>
  <si>
    <t xml:space="preserve">(14) mateo toro de zambrano esquina industria </t>
  </si>
  <si>
    <t>carniceria diego y agustin</t>
  </si>
  <si>
    <t>(16) copacabana 420 Cerrado</t>
  </si>
  <si>
    <t>botilleria el jh</t>
  </si>
  <si>
    <t xml:space="preserve">(17) mateo de toro y zambrano con progreso  Cerrado </t>
  </si>
  <si>
    <t xml:space="preserve">(20) efuerzo con padre mariano puga </t>
  </si>
  <si>
    <t>el rey del corte carniceria</t>
  </si>
  <si>
    <t xml:space="preserve">(22) contancia con mateo de toro y zambrano </t>
  </si>
  <si>
    <t>almacen veronica</t>
  </si>
  <si>
    <t>(23) leal 405 Cerrado</t>
  </si>
  <si>
    <t>amasanderia la sureña</t>
  </si>
  <si>
    <t>(24) leal 407</t>
  </si>
  <si>
    <t>(25) leal 416</t>
  </si>
  <si>
    <t>su Santidad Juan XIII</t>
  </si>
  <si>
    <t xml:space="preserve">(26). san gregorio esquina con leal. mini market y botilleria la bodega. </t>
  </si>
  <si>
    <t>botilleria la bodega</t>
  </si>
  <si>
    <t>(27). leal 496</t>
  </si>
  <si>
    <t>(29). san gregorio 3836. CERRADO</t>
  </si>
  <si>
    <t>botilleria y almacen don marito</t>
  </si>
  <si>
    <t>(30) san gregorio 3742</t>
  </si>
  <si>
    <t>fabrica de masas</t>
  </si>
  <si>
    <t>(31). torrealba con san gregorio CERRADO</t>
  </si>
  <si>
    <t>tio kuka. almacen</t>
  </si>
  <si>
    <t>(35). pedro alarcon con san gregorio.</t>
  </si>
  <si>
    <t>el rey del asado carniceria</t>
  </si>
  <si>
    <t>(36). san gregorio 3545. CERRADO</t>
  </si>
  <si>
    <t>donde manolito. almacen</t>
  </si>
  <si>
    <t>(37). carlos fau con pedro alarcon.  CERRADO</t>
  </si>
  <si>
    <t>donde la mary.</t>
  </si>
  <si>
    <t>(39). pedro alaron con mateo toro y zambrano.</t>
  </si>
  <si>
    <t>donde tomas santiago Botilleria</t>
  </si>
  <si>
    <t>(40). mateo de toro y zambrano 3418.  CERRADO</t>
  </si>
  <si>
    <t>(42). mateo de toro y zambrano 427</t>
  </si>
  <si>
    <t>(45). salomon sumar CERRADO</t>
  </si>
  <si>
    <t xml:space="preserve">(46). magdalena esquina con salomon sumar. </t>
  </si>
  <si>
    <t>(47).</t>
  </si>
  <si>
    <t>almacen magdalena</t>
  </si>
  <si>
    <t>(48). magdalena con las industrias</t>
  </si>
  <si>
    <t>MYM</t>
  </si>
  <si>
    <t>(49). las industrias 3584.</t>
  </si>
  <si>
    <t>emporio sumar</t>
  </si>
  <si>
    <t>(50). pedro alarcon 416</t>
  </si>
  <si>
    <t>aymara minimarket.</t>
  </si>
  <si>
    <t>(01) vecinal 5522 Cerrado</t>
  </si>
  <si>
    <t>almacen sin nombre</t>
  </si>
  <si>
    <t>(02) vecinal esquina con socoroma</t>
  </si>
  <si>
    <t>lgn almacen</t>
  </si>
  <si>
    <t>(03) vecinal esquina con departamental  Cerrado</t>
  </si>
  <si>
    <t>(04) vecinal 5371</t>
  </si>
  <si>
    <t>almacen myc</t>
  </si>
  <si>
    <t xml:space="preserve">(05) vecinal 5371 </t>
  </si>
  <si>
    <t>bazar mateo</t>
  </si>
  <si>
    <t>(06) vecinal 5239</t>
  </si>
  <si>
    <t>botilleria dynamo</t>
  </si>
  <si>
    <t>(07) yico 231</t>
  </si>
  <si>
    <t>verduleria patito</t>
  </si>
  <si>
    <t>(08) vecinal 5159 Cerrado</t>
  </si>
  <si>
    <t>botilleria el mani si</t>
  </si>
  <si>
    <t xml:space="preserve">(09) vecinal 5070 </t>
  </si>
  <si>
    <t>almacen cristobal</t>
  </si>
  <si>
    <t>(10) vecinal 4986</t>
  </si>
  <si>
    <t xml:space="preserve">(11) pozo al monte con vecinal </t>
  </si>
  <si>
    <t xml:space="preserve">almacen genesis </t>
  </si>
  <si>
    <t>(14) hayon 5187 Cerrado</t>
  </si>
  <si>
    <t>botilleria me lanse</t>
  </si>
  <si>
    <t xml:space="preserve">(15) hayon con departamental </t>
  </si>
  <si>
    <t>carniceria y panaderia res</t>
  </si>
  <si>
    <t>(16) departamental 196 Cerrado</t>
  </si>
  <si>
    <t>almacen el farolo</t>
  </si>
  <si>
    <t>(18) departamental 208 Cerrado</t>
  </si>
  <si>
    <t>almacen empirio de ian</t>
  </si>
  <si>
    <t>(19) departamental 208 Cerrado</t>
  </si>
  <si>
    <t>botilleria el quimico</t>
  </si>
  <si>
    <t xml:space="preserve">(21) departamental llegando a purto montt </t>
  </si>
  <si>
    <t xml:space="preserve">carnes y abarrotes san roberto </t>
  </si>
  <si>
    <t>(22) vecinal con palhue</t>
  </si>
  <si>
    <t>botilleria manoe</t>
  </si>
  <si>
    <t>(23)  palhue 298</t>
  </si>
  <si>
    <t>almacen/ botilleria</t>
  </si>
  <si>
    <t>(24) departamntal 297  Cerrado</t>
  </si>
  <si>
    <t xml:space="preserve">botilleria me lance </t>
  </si>
  <si>
    <t xml:space="preserve">(25) jorge quevedo con nicanor de la sota Cerrado </t>
  </si>
  <si>
    <t>almacen don fernando</t>
  </si>
  <si>
    <t>(27) yico 303</t>
  </si>
  <si>
    <t>(29) yico 306</t>
  </si>
  <si>
    <t xml:space="preserve">carniceria la </t>
  </si>
  <si>
    <t xml:space="preserve">(30) las industrias 5280 Cerrado </t>
  </si>
  <si>
    <t xml:space="preserve">goda market </t>
  </si>
  <si>
    <t xml:space="preserve">(31) las industrias 5240 Cerrado </t>
  </si>
  <si>
    <t>botilleria cy d</t>
  </si>
  <si>
    <t>(32) las industrias 5240</t>
  </si>
  <si>
    <t>almacen marta</t>
  </si>
  <si>
    <t xml:space="preserve">(33) roger retes con las indiustrias </t>
  </si>
  <si>
    <t>botilleria paraiso</t>
  </si>
  <si>
    <t>(35)piramidal 304</t>
  </si>
  <si>
    <t>almacen baruchs</t>
  </si>
  <si>
    <t>(36) las industrias 4990</t>
  </si>
  <si>
    <t>panificadora las industrias</t>
  </si>
  <si>
    <t xml:space="preserve">(37) llico con tomas de capanella </t>
  </si>
  <si>
    <t>minimarket myc</t>
  </si>
  <si>
    <t>(38) llico 341</t>
  </si>
  <si>
    <t>almacen don pablo</t>
  </si>
  <si>
    <t>(39) las industrias 547</t>
  </si>
  <si>
    <t xml:space="preserve">(42) departamental 311 Cerrado </t>
  </si>
  <si>
    <t xml:space="preserve">(1) luis durand latorre  con juan guzman </t>
  </si>
  <si>
    <t>almacen sra veronica</t>
  </si>
  <si>
    <t>(2) arturo gonzalez 3315 cin armando moock CERRADO</t>
  </si>
  <si>
    <t xml:space="preserve">(11) macul 4727 </t>
  </si>
  <si>
    <t xml:space="preserve">(15) macul 4581 </t>
  </si>
  <si>
    <t>(16) macul con gabriela mistral</t>
  </si>
  <si>
    <t xml:space="preserve">minimarket el huerto escondido </t>
  </si>
  <si>
    <t xml:space="preserve">(18) macul esquina con victor domingo silva </t>
  </si>
  <si>
    <t>verduleria s/n</t>
  </si>
  <si>
    <t>(20) macul 4251</t>
  </si>
  <si>
    <t>amasanderia y abarrotes</t>
  </si>
  <si>
    <t>(21) macul 4227</t>
  </si>
  <si>
    <t>panaderia san martin</t>
  </si>
  <si>
    <t>(22) macul 4221 Cerrado</t>
  </si>
  <si>
    <t>botilleria francis drake</t>
  </si>
  <si>
    <t>(23) macul 4205</t>
  </si>
  <si>
    <t>rotiseria y fiambreria kenito</t>
  </si>
  <si>
    <t xml:space="preserve">(24) macul 4203 </t>
  </si>
  <si>
    <t xml:space="preserve">caniceria doña carne </t>
  </si>
  <si>
    <t>(26) macul 4141</t>
  </si>
  <si>
    <t xml:space="preserve">carniceria escudero </t>
  </si>
  <si>
    <t>(27) macul 4115</t>
  </si>
  <si>
    <t>(28) macul 4115  Cerrada</t>
  </si>
  <si>
    <t xml:space="preserve">botilleria stay true </t>
  </si>
  <si>
    <t xml:space="preserve">(30) macul 4109 </t>
  </si>
  <si>
    <t>punto score</t>
  </si>
  <si>
    <t>(31) macul 4063</t>
  </si>
  <si>
    <t>distribuidora macul</t>
  </si>
  <si>
    <t xml:space="preserve">(32) macul 4003 </t>
  </si>
  <si>
    <t>punto copec</t>
  </si>
  <si>
    <t>(33) macul con nicanor molinares</t>
  </si>
  <si>
    <t>carnes santa sofia</t>
  </si>
  <si>
    <t>(34) macul 3998 Cerrado</t>
  </si>
  <si>
    <t>veggimania tu tienda vegana</t>
  </si>
  <si>
    <t xml:space="preserve">(35) macul 3998 </t>
  </si>
  <si>
    <t>minimarket abuelo market</t>
  </si>
  <si>
    <t xml:space="preserve">(36) macul 4084 Cerrado </t>
  </si>
  <si>
    <t xml:space="preserve">emporio marino </t>
  </si>
  <si>
    <t xml:space="preserve">(37) macul 4244 </t>
  </si>
  <si>
    <t>pasteleria el bodegon</t>
  </si>
  <si>
    <t xml:space="preserve">(38) victor domingo dilva con exequiel fernandez Cerrado </t>
  </si>
  <si>
    <t>Almacen paty</t>
  </si>
  <si>
    <t>(39) exequiel fernandez 4285</t>
  </si>
  <si>
    <t>amasanderia el huasito</t>
  </si>
  <si>
    <t>(41) exequiel fernandez 4513   Cerrado</t>
  </si>
  <si>
    <t>amasanderia el sureño</t>
  </si>
  <si>
    <t>(42) exequiel fernandez con carlos casanueva  Cerrada</t>
  </si>
  <si>
    <t>botilleria pamer</t>
  </si>
  <si>
    <t>(43) exequiel fernandez con calos casanueva</t>
  </si>
  <si>
    <t>minimarket vasconia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</si>
</sst>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4" x14ac:knownFonts="1">
    <font>
      <sz val="11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0070C0"/>
      <name val="Arial"/>
      <family val="2"/>
    </font>
    <font>
      <sz val="10"/>
      <color rgb="FF00B0F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Roboto"/>
    </font>
    <font>
      <sz val="10"/>
      <color theme="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0" fontId="5" fillId="0" borderId="0" xfId="0" applyFont="1"/>
    <xf numFmtId="0" fontId="6" fillId="0" borderId="0" xfId="0" applyFont="1"/>
    <xf numFmtId="1" fontId="7" fillId="0" borderId="0" xfId="0" applyNumberFormat="1" applyFont="1"/>
    <xf numFmtId="1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164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/>
    <xf numFmtId="0" fontId="3" fillId="2" borderId="1" xfId="0" applyFont="1" applyFill="1" applyBorder="1"/>
    <xf numFmtId="1" fontId="3" fillId="2" borderId="1" xfId="0" applyNumberFormat="1" applyFont="1" applyFill="1" applyBorder="1"/>
    <xf numFmtId="0" fontId="3" fillId="2" borderId="0" xfId="0" applyFont="1" applyFill="1"/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5" fillId="3" borderId="0" xfId="0" applyFont="1" applyFill="1"/>
    <xf numFmtId="1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3" fontId="10" fillId="0" borderId="1" xfId="0" applyNumberFormat="1" applyFont="1" applyBorder="1"/>
    <xf numFmtId="0" fontId="4" fillId="0" borderId="1" xfId="0" applyFont="1" applyBorder="1"/>
    <xf numFmtId="0" fontId="3" fillId="3" borderId="1" xfId="0" applyFont="1" applyFill="1" applyBorder="1"/>
    <xf numFmtId="0" fontId="5" fillId="3" borderId="1" xfId="0" applyFont="1" applyFill="1" applyBorder="1"/>
    <xf numFmtId="0" fontId="11" fillId="0" borderId="2" xfId="0" applyFont="1" applyBorder="1"/>
    <xf numFmtId="0" fontId="3" fillId="2" borderId="2" xfId="0" applyFont="1" applyFill="1" applyBorder="1"/>
    <xf numFmtId="3" fontId="3" fillId="2" borderId="2" xfId="0" applyNumberFormat="1" applyFont="1" applyFill="1" applyBorder="1"/>
    <xf numFmtId="1" fontId="3" fillId="2" borderId="2" xfId="0" applyNumberFormat="1" applyFont="1" applyFill="1" applyBorder="1"/>
    <xf numFmtId="0" fontId="5" fillId="2" borderId="2" xfId="0" applyFont="1" applyFill="1" applyBorder="1"/>
    <xf numFmtId="0" fontId="8" fillId="2" borderId="2" xfId="0" applyFont="1" applyFill="1" applyBorder="1"/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0" fontId="10" fillId="2" borderId="2" xfId="0" applyFont="1" applyFill="1" applyBorder="1"/>
    <xf numFmtId="0" fontId="0" fillId="0" borderId="2" xfId="0" applyBorder="1"/>
    <xf numFmtId="0" fontId="5" fillId="0" borderId="2" xfId="0" applyFont="1" applyBorder="1"/>
    <xf numFmtId="0" fontId="3" fillId="2" borderId="2" xfId="0" applyFont="1" applyFill="1" applyBorder="1" applyAlignment="1">
      <alignment horizontal="left"/>
    </xf>
    <xf numFmtId="3" fontId="5" fillId="2" borderId="2" xfId="0" applyNumberFormat="1" applyFont="1" applyFill="1" applyBorder="1"/>
    <xf numFmtId="1" fontId="3" fillId="0" borderId="2" xfId="0" applyNumberFormat="1" applyFont="1" applyBorder="1" applyAlignment="1">
      <alignment horizontal="right"/>
    </xf>
    <xf numFmtId="0" fontId="3" fillId="3" borderId="2" xfId="0" applyFont="1" applyFill="1" applyBorder="1"/>
    <xf numFmtId="0" fontId="10" fillId="0" borderId="2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1" fontId="5" fillId="0" borderId="2" xfId="0" applyNumberFormat="1" applyFont="1" applyBorder="1"/>
    <xf numFmtId="0" fontId="3" fillId="0" borderId="2" xfId="0" applyFont="1" applyBorder="1" applyAlignment="1">
      <alignment horizontal="right"/>
    </xf>
    <xf numFmtId="3" fontId="3" fillId="3" borderId="2" xfId="0" applyNumberFormat="1" applyFont="1" applyFill="1" applyBorder="1"/>
    <xf numFmtId="1" fontId="3" fillId="0" borderId="2" xfId="0" applyNumberFormat="1" applyFont="1" applyBorder="1"/>
    <xf numFmtId="1" fontId="7" fillId="2" borderId="2" xfId="0" applyNumberFormat="1" applyFont="1" applyFill="1" applyBorder="1"/>
    <xf numFmtId="0" fontId="3" fillId="3" borderId="2" xfId="0" applyFont="1" applyFill="1" applyBorder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24E7-8FBE-4FCA-A252-4AF60C53BAF0}">
  <dimension ref="A1:CO258"/>
  <sheetViews>
    <sheetView workbookViewId="0">
      <selection activeCell="C11" sqref="C11"/>
    </sheetView>
  </sheetViews>
  <sheetFormatPr baseColWidth="10" defaultRowHeight="15" x14ac:dyDescent="0.25"/>
  <cols>
    <col min="1" max="1" width="13.140625" bestFit="1" customWidth="1"/>
    <col min="2" max="2" width="19.7109375" bestFit="1" customWidth="1"/>
    <col min="5" max="5" width="23" customWidth="1"/>
    <col min="6" max="7" width="17.28515625" bestFit="1" customWidth="1"/>
    <col min="8" max="8" width="14.140625" customWidth="1"/>
  </cols>
  <sheetData>
    <row r="1" spans="1:9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30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4" t="s">
        <v>41</v>
      </c>
      <c r="AS1" s="4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4" t="s">
        <v>56</v>
      </c>
      <c r="BH1" s="4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4" t="s">
        <v>56</v>
      </c>
      <c r="BR1" s="4" t="s">
        <v>42</v>
      </c>
      <c r="BS1" s="3" t="s">
        <v>66</v>
      </c>
      <c r="BT1" s="3" t="s">
        <v>67</v>
      </c>
      <c r="BU1" s="3" t="s">
        <v>68</v>
      </c>
      <c r="BV1" s="3" t="s">
        <v>69</v>
      </c>
      <c r="BW1" s="3" t="s">
        <v>70</v>
      </c>
      <c r="BX1" s="3" t="s">
        <v>71</v>
      </c>
      <c r="BY1" s="3" t="s">
        <v>72</v>
      </c>
      <c r="BZ1" s="4" t="s">
        <v>56</v>
      </c>
      <c r="CA1" s="4" t="s">
        <v>57</v>
      </c>
      <c r="CB1" s="3" t="s">
        <v>73</v>
      </c>
      <c r="CC1" s="3" t="s">
        <v>74</v>
      </c>
      <c r="CD1" s="3" t="s">
        <v>75</v>
      </c>
      <c r="CE1" s="3" t="s">
        <v>76</v>
      </c>
      <c r="CF1" s="4" t="s">
        <v>56</v>
      </c>
      <c r="CG1" s="4" t="s">
        <v>42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4" t="s">
        <v>56</v>
      </c>
      <c r="CO1" s="4" t="s">
        <v>57</v>
      </c>
    </row>
    <row r="2" spans="1:93" ht="15.75" customHeight="1" x14ac:dyDescent="0.25">
      <c r="A2" t="s">
        <v>83</v>
      </c>
      <c r="B2" s="3" t="s">
        <v>84</v>
      </c>
      <c r="C2" s="5">
        <v>-3352762</v>
      </c>
      <c r="D2" s="5">
        <v>-7062166</v>
      </c>
      <c r="E2" s="6">
        <v>1</v>
      </c>
      <c r="F2" s="6">
        <v>0</v>
      </c>
      <c r="G2" s="6">
        <v>0</v>
      </c>
      <c r="H2" s="6">
        <v>0</v>
      </c>
      <c r="I2" s="6">
        <v>1</v>
      </c>
      <c r="J2" s="6">
        <v>1</v>
      </c>
      <c r="K2" s="6">
        <v>1</v>
      </c>
      <c r="L2" s="6">
        <v>0</v>
      </c>
      <c r="M2" s="6">
        <v>1</v>
      </c>
      <c r="N2" s="6">
        <v>0</v>
      </c>
      <c r="O2" s="6">
        <v>1</v>
      </c>
      <c r="P2" s="6">
        <v>1</v>
      </c>
      <c r="Q2" s="6">
        <v>1</v>
      </c>
      <c r="R2" s="6">
        <v>1</v>
      </c>
      <c r="S2" s="6">
        <v>0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0</v>
      </c>
      <c r="Z2" s="6">
        <v>0</v>
      </c>
      <c r="AA2" s="6">
        <v>1</v>
      </c>
      <c r="AB2" s="6">
        <v>1</v>
      </c>
      <c r="AC2" s="6">
        <v>0</v>
      </c>
      <c r="AD2" s="6">
        <v>1</v>
      </c>
      <c r="AE2" s="6">
        <v>0</v>
      </c>
      <c r="AF2" s="6">
        <v>0</v>
      </c>
      <c r="AG2" s="6">
        <v>1</v>
      </c>
      <c r="AH2" s="6">
        <v>1</v>
      </c>
      <c r="AI2" s="6">
        <v>0</v>
      </c>
      <c r="AJ2" s="6">
        <v>1</v>
      </c>
      <c r="AK2" s="6">
        <v>1</v>
      </c>
      <c r="AL2" s="6">
        <v>0</v>
      </c>
      <c r="AM2" s="6">
        <v>1</v>
      </c>
      <c r="AN2" s="6">
        <v>1</v>
      </c>
      <c r="AO2" s="6">
        <v>1</v>
      </c>
      <c r="AP2" s="6">
        <v>1</v>
      </c>
      <c r="AQ2" s="6">
        <v>0</v>
      </c>
      <c r="AR2" s="7"/>
      <c r="AS2" s="7"/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7"/>
      <c r="BH2" s="7"/>
      <c r="BI2" s="6">
        <v>1</v>
      </c>
      <c r="BJ2" s="6">
        <v>1</v>
      </c>
      <c r="BK2" s="6">
        <v>1</v>
      </c>
      <c r="BL2" s="6">
        <v>1</v>
      </c>
      <c r="BM2" s="6">
        <v>1</v>
      </c>
      <c r="BN2" s="6">
        <v>1</v>
      </c>
      <c r="BO2" s="6">
        <v>1</v>
      </c>
      <c r="BP2" s="6">
        <v>0</v>
      </c>
      <c r="BQ2" s="7"/>
      <c r="BR2" s="7"/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7"/>
      <c r="CA2" s="7"/>
      <c r="CB2" s="6">
        <v>1</v>
      </c>
      <c r="CC2" s="6">
        <v>0</v>
      </c>
      <c r="CD2" s="6">
        <v>0</v>
      </c>
      <c r="CE2" s="6">
        <v>1</v>
      </c>
      <c r="CF2" s="7"/>
      <c r="CG2" s="7"/>
      <c r="CH2" s="6"/>
      <c r="CI2" s="6"/>
      <c r="CJ2" s="6"/>
      <c r="CK2" s="6"/>
      <c r="CL2" s="6"/>
      <c r="CM2" s="6"/>
      <c r="CN2" s="7"/>
      <c r="CO2" s="7"/>
    </row>
    <row r="3" spans="1:93" ht="15.75" customHeight="1" x14ac:dyDescent="0.25">
      <c r="A3" t="s">
        <v>83</v>
      </c>
      <c r="B3" s="3" t="s">
        <v>85</v>
      </c>
      <c r="C3" s="5">
        <v>-3352980</v>
      </c>
      <c r="D3" s="5">
        <v>-7062310</v>
      </c>
      <c r="E3" s="6">
        <v>1</v>
      </c>
      <c r="F3" s="6">
        <v>0</v>
      </c>
      <c r="G3" s="6">
        <v>0</v>
      </c>
      <c r="H3" s="6">
        <v>0</v>
      </c>
      <c r="I3" s="6">
        <v>1</v>
      </c>
      <c r="J3" s="6">
        <v>1</v>
      </c>
      <c r="K3" s="6">
        <v>1</v>
      </c>
      <c r="L3" s="6">
        <v>0</v>
      </c>
      <c r="M3" s="6">
        <v>1</v>
      </c>
      <c r="N3" s="6">
        <v>0</v>
      </c>
      <c r="O3" s="6">
        <v>1</v>
      </c>
      <c r="P3" s="6">
        <v>1</v>
      </c>
      <c r="Q3" s="6">
        <v>1</v>
      </c>
      <c r="R3" s="6">
        <v>1</v>
      </c>
      <c r="S3" s="6">
        <v>0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0</v>
      </c>
      <c r="Z3" s="6">
        <v>0</v>
      </c>
      <c r="AA3" s="6">
        <v>1</v>
      </c>
      <c r="AB3" s="6">
        <v>1</v>
      </c>
      <c r="AC3" s="6">
        <v>0</v>
      </c>
      <c r="AD3" s="6">
        <v>1</v>
      </c>
      <c r="AE3" s="6">
        <v>0</v>
      </c>
      <c r="AF3" s="6">
        <v>0</v>
      </c>
      <c r="AG3" s="6">
        <v>1</v>
      </c>
      <c r="AH3" s="6">
        <v>1</v>
      </c>
      <c r="AI3" s="6">
        <v>0</v>
      </c>
      <c r="AJ3" s="6">
        <v>1</v>
      </c>
      <c r="AK3" s="6">
        <v>1</v>
      </c>
      <c r="AL3" s="6">
        <v>0</v>
      </c>
      <c r="AM3" s="6">
        <v>1</v>
      </c>
      <c r="AN3" s="6">
        <v>1</v>
      </c>
      <c r="AO3" s="6">
        <v>1</v>
      </c>
      <c r="AP3" s="6">
        <v>1</v>
      </c>
      <c r="AQ3" s="6">
        <v>0</v>
      </c>
      <c r="AR3" s="7"/>
      <c r="AS3" s="7"/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7"/>
      <c r="BH3" s="7"/>
      <c r="BI3" s="6">
        <v>1</v>
      </c>
      <c r="BJ3" s="6">
        <v>1</v>
      </c>
      <c r="BK3" s="6">
        <v>1</v>
      </c>
      <c r="BL3" s="6">
        <v>1</v>
      </c>
      <c r="BM3" s="6">
        <v>1</v>
      </c>
      <c r="BN3" s="6">
        <v>1</v>
      </c>
      <c r="BO3" s="6">
        <v>1</v>
      </c>
      <c r="BP3" s="6">
        <v>0</v>
      </c>
      <c r="BQ3" s="7"/>
      <c r="BR3" s="7"/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7"/>
      <c r="CA3" s="7"/>
      <c r="CB3" s="6">
        <v>1</v>
      </c>
      <c r="CC3" s="6">
        <v>0</v>
      </c>
      <c r="CD3" s="6">
        <v>0</v>
      </c>
      <c r="CE3" s="6">
        <v>1</v>
      </c>
      <c r="CF3" s="7"/>
      <c r="CG3" s="7"/>
      <c r="CH3" s="6"/>
      <c r="CI3" s="6"/>
      <c r="CJ3" s="6"/>
      <c r="CK3" s="6"/>
      <c r="CL3" s="6"/>
      <c r="CM3" s="6"/>
      <c r="CN3" s="7"/>
      <c r="CO3" s="7"/>
    </row>
    <row r="4" spans="1:93" ht="15.75" customHeight="1" x14ac:dyDescent="0.25">
      <c r="A4" t="s">
        <v>83</v>
      </c>
      <c r="B4" s="3" t="s">
        <v>86</v>
      </c>
      <c r="C4" s="3">
        <v>-3353477</v>
      </c>
      <c r="D4" s="3">
        <v>-7061624</v>
      </c>
      <c r="E4" s="3">
        <v>0</v>
      </c>
      <c r="F4" s="3">
        <v>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0</v>
      </c>
      <c r="M4" s="3">
        <v>1</v>
      </c>
      <c r="N4" s="3">
        <v>0</v>
      </c>
      <c r="O4" s="3">
        <v>1</v>
      </c>
      <c r="P4" s="3">
        <v>1</v>
      </c>
      <c r="Q4" s="3">
        <v>1</v>
      </c>
      <c r="R4" s="3">
        <v>1</v>
      </c>
      <c r="S4" s="3">
        <v>0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1</v>
      </c>
      <c r="AH4" s="3">
        <v>1</v>
      </c>
      <c r="AI4" s="3">
        <v>0</v>
      </c>
      <c r="AJ4" s="3">
        <v>1</v>
      </c>
      <c r="AK4" s="3">
        <v>1</v>
      </c>
      <c r="AL4" s="3">
        <v>0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7"/>
      <c r="AS4" s="7"/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7"/>
      <c r="BH4" s="7"/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0</v>
      </c>
      <c r="BQ4" s="7"/>
      <c r="BR4" s="7"/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7"/>
      <c r="CA4" s="7"/>
      <c r="CB4" s="3">
        <v>0</v>
      </c>
      <c r="CC4" s="3">
        <v>0</v>
      </c>
      <c r="CD4" s="3">
        <v>0</v>
      </c>
      <c r="CE4" s="3">
        <v>0</v>
      </c>
      <c r="CF4" s="7"/>
      <c r="CG4" s="7"/>
      <c r="CH4" s="6"/>
      <c r="CI4" s="6"/>
      <c r="CJ4" s="6"/>
      <c r="CK4" s="6"/>
      <c r="CL4" s="6"/>
      <c r="CM4" s="6"/>
      <c r="CN4" s="7"/>
      <c r="CO4" s="7"/>
    </row>
    <row r="5" spans="1:93" ht="15.75" customHeight="1" x14ac:dyDescent="0.25">
      <c r="A5" t="s">
        <v>83</v>
      </c>
      <c r="B5" s="3" t="s">
        <v>87</v>
      </c>
      <c r="C5" s="8">
        <v>-33494037</v>
      </c>
      <c r="D5" s="6">
        <v>-70597500</v>
      </c>
      <c r="E5" s="6">
        <v>1</v>
      </c>
      <c r="F5" s="6">
        <v>0</v>
      </c>
      <c r="G5" s="6">
        <v>0</v>
      </c>
      <c r="H5" s="6">
        <v>0</v>
      </c>
      <c r="I5" s="6">
        <v>1</v>
      </c>
      <c r="J5" s="6">
        <v>1</v>
      </c>
      <c r="K5" s="6">
        <v>1</v>
      </c>
      <c r="L5" s="6">
        <v>0</v>
      </c>
      <c r="M5" s="6">
        <v>1</v>
      </c>
      <c r="N5" s="6">
        <v>0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0</v>
      </c>
      <c r="AA5" s="6">
        <v>1</v>
      </c>
      <c r="AB5" s="6">
        <v>0</v>
      </c>
      <c r="AC5" s="6">
        <v>0</v>
      </c>
      <c r="AD5" s="6">
        <v>1</v>
      </c>
      <c r="AE5" s="6">
        <v>0</v>
      </c>
      <c r="AF5" s="6">
        <v>0</v>
      </c>
      <c r="AG5" s="6">
        <v>1</v>
      </c>
      <c r="AH5" s="6">
        <v>1</v>
      </c>
      <c r="AI5" s="6">
        <v>0</v>
      </c>
      <c r="AJ5" s="6">
        <v>1</v>
      </c>
      <c r="AK5" s="6">
        <v>1</v>
      </c>
      <c r="AL5" s="6">
        <v>0</v>
      </c>
      <c r="AM5" s="6">
        <v>1</v>
      </c>
      <c r="AN5" s="6">
        <v>1</v>
      </c>
      <c r="AO5" s="6">
        <v>1</v>
      </c>
      <c r="AP5" s="6">
        <v>1</v>
      </c>
      <c r="AQ5" s="6">
        <v>0</v>
      </c>
      <c r="AR5" s="7"/>
      <c r="AS5" s="7"/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7"/>
      <c r="BH5" s="7"/>
      <c r="BI5" s="6">
        <v>1</v>
      </c>
      <c r="BJ5" s="6">
        <v>1</v>
      </c>
      <c r="BK5" s="6">
        <v>1</v>
      </c>
      <c r="BL5" s="6">
        <v>1</v>
      </c>
      <c r="BM5" s="6">
        <v>1</v>
      </c>
      <c r="BN5" s="6">
        <v>1</v>
      </c>
      <c r="BO5" s="6">
        <v>1</v>
      </c>
      <c r="BP5" s="6">
        <v>0</v>
      </c>
      <c r="BQ5" s="7"/>
      <c r="BR5" s="7"/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7"/>
      <c r="CA5" s="7"/>
      <c r="CB5" s="6">
        <v>0</v>
      </c>
      <c r="CC5" s="6">
        <v>0</v>
      </c>
      <c r="CD5" s="6">
        <v>0</v>
      </c>
      <c r="CE5" s="6">
        <v>0</v>
      </c>
      <c r="CF5" s="7"/>
      <c r="CG5" s="7"/>
      <c r="CH5" s="6"/>
      <c r="CI5" s="6"/>
      <c r="CJ5" s="6"/>
      <c r="CK5" s="6"/>
      <c r="CL5" s="6"/>
      <c r="CM5" s="6"/>
      <c r="CN5" s="7"/>
      <c r="CO5" s="7"/>
    </row>
    <row r="6" spans="1:93" ht="15.75" customHeight="1" x14ac:dyDescent="0.25">
      <c r="A6" t="s">
        <v>83</v>
      </c>
      <c r="B6" s="3" t="s">
        <v>88</v>
      </c>
      <c r="C6" s="5">
        <v>-33505741</v>
      </c>
      <c r="D6" s="6">
        <v>-70624308</v>
      </c>
      <c r="E6" s="6">
        <v>1</v>
      </c>
      <c r="F6" s="6">
        <v>0</v>
      </c>
      <c r="G6" s="6">
        <v>0</v>
      </c>
      <c r="H6" s="6">
        <v>0</v>
      </c>
      <c r="I6" s="6">
        <v>1</v>
      </c>
      <c r="J6" s="6">
        <v>1</v>
      </c>
      <c r="K6" s="6">
        <v>1</v>
      </c>
      <c r="L6" s="6">
        <v>0</v>
      </c>
      <c r="M6" s="6">
        <v>1</v>
      </c>
      <c r="N6" s="6">
        <v>0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0</v>
      </c>
      <c r="AA6" s="6">
        <v>1</v>
      </c>
      <c r="AB6" s="6">
        <v>0</v>
      </c>
      <c r="AC6" s="6">
        <v>0</v>
      </c>
      <c r="AD6" s="6">
        <v>1</v>
      </c>
      <c r="AE6" s="6">
        <v>0</v>
      </c>
      <c r="AF6" s="6">
        <v>0</v>
      </c>
      <c r="AG6" s="6">
        <v>1</v>
      </c>
      <c r="AH6" s="6">
        <v>1</v>
      </c>
      <c r="AI6" s="6">
        <v>0</v>
      </c>
      <c r="AJ6" s="6">
        <v>1</v>
      </c>
      <c r="AK6" s="6">
        <v>1</v>
      </c>
      <c r="AL6" s="6">
        <v>0</v>
      </c>
      <c r="AM6" s="6">
        <v>1</v>
      </c>
      <c r="AN6" s="6">
        <v>1</v>
      </c>
      <c r="AO6" s="6">
        <v>1</v>
      </c>
      <c r="AP6" s="6">
        <v>1</v>
      </c>
      <c r="AQ6" s="6">
        <v>0</v>
      </c>
      <c r="AR6" s="7"/>
      <c r="AS6" s="7"/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7"/>
      <c r="BH6" s="7"/>
      <c r="BI6" s="6">
        <v>1</v>
      </c>
      <c r="BJ6" s="6">
        <v>1</v>
      </c>
      <c r="BK6" s="6">
        <v>1</v>
      </c>
      <c r="BL6" s="6">
        <v>1</v>
      </c>
      <c r="BM6" s="6">
        <v>1</v>
      </c>
      <c r="BN6" s="6">
        <v>1</v>
      </c>
      <c r="BO6" s="6">
        <v>1</v>
      </c>
      <c r="BP6" s="6">
        <v>0</v>
      </c>
      <c r="BQ6" s="7"/>
      <c r="BR6" s="7"/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7"/>
      <c r="CA6" s="7"/>
      <c r="CB6" s="6">
        <v>0</v>
      </c>
      <c r="CC6" s="6">
        <v>0</v>
      </c>
      <c r="CD6" s="6">
        <v>0</v>
      </c>
      <c r="CE6" s="6">
        <v>0</v>
      </c>
      <c r="CF6" s="7"/>
      <c r="CG6" s="7"/>
      <c r="CH6" s="6"/>
      <c r="CI6" s="6"/>
      <c r="CJ6" s="6"/>
      <c r="CK6" s="6"/>
      <c r="CL6" s="6"/>
      <c r="CM6" s="6"/>
      <c r="CN6" s="7"/>
      <c r="CO6" s="7"/>
    </row>
    <row r="7" spans="1:93" ht="15.75" customHeight="1" x14ac:dyDescent="0.25">
      <c r="A7" t="s">
        <v>83</v>
      </c>
      <c r="B7" s="3" t="s">
        <v>89</v>
      </c>
      <c r="C7" s="9">
        <v>-33489947</v>
      </c>
      <c r="D7" s="6">
        <v>-70632479</v>
      </c>
      <c r="E7" s="6">
        <v>1</v>
      </c>
      <c r="F7" s="6">
        <v>0</v>
      </c>
      <c r="G7" s="6">
        <v>0</v>
      </c>
      <c r="H7" s="6">
        <v>0</v>
      </c>
      <c r="I7" s="6">
        <v>1</v>
      </c>
      <c r="J7" s="6">
        <v>1</v>
      </c>
      <c r="K7" s="6">
        <v>1</v>
      </c>
      <c r="L7" s="6">
        <v>0</v>
      </c>
      <c r="M7" s="6">
        <v>1</v>
      </c>
      <c r="N7" s="6">
        <v>0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0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6">
        <v>0</v>
      </c>
      <c r="AG7" s="6">
        <v>1</v>
      </c>
      <c r="AH7" s="6">
        <v>1</v>
      </c>
      <c r="AI7" s="6">
        <v>0</v>
      </c>
      <c r="AJ7" s="6">
        <v>1</v>
      </c>
      <c r="AK7" s="6">
        <v>1</v>
      </c>
      <c r="AL7" s="6">
        <v>0</v>
      </c>
      <c r="AM7" s="6">
        <v>1</v>
      </c>
      <c r="AN7" s="6">
        <v>1</v>
      </c>
      <c r="AO7" s="6">
        <v>1</v>
      </c>
      <c r="AP7" s="6">
        <v>1</v>
      </c>
      <c r="AQ7" s="6">
        <v>0</v>
      </c>
      <c r="AR7" s="7"/>
      <c r="AS7" s="7"/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7"/>
      <c r="BH7" s="7"/>
      <c r="BI7" s="6">
        <v>1</v>
      </c>
      <c r="BJ7" s="6">
        <v>1</v>
      </c>
      <c r="BK7" s="6">
        <v>1</v>
      </c>
      <c r="BL7" s="6">
        <v>1</v>
      </c>
      <c r="BM7" s="6">
        <v>1</v>
      </c>
      <c r="BN7" s="6">
        <v>1</v>
      </c>
      <c r="BO7" s="6">
        <v>1</v>
      </c>
      <c r="BP7" s="6">
        <v>0</v>
      </c>
      <c r="BQ7" s="7"/>
      <c r="BR7" s="7"/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7"/>
      <c r="CA7" s="7"/>
      <c r="CB7" s="6">
        <v>0</v>
      </c>
      <c r="CC7" s="6">
        <v>0</v>
      </c>
      <c r="CD7" s="6">
        <v>0</v>
      </c>
      <c r="CE7" s="6">
        <v>0</v>
      </c>
      <c r="CF7" s="7"/>
      <c r="CG7" s="7"/>
      <c r="CH7" s="6"/>
      <c r="CI7" s="6"/>
      <c r="CJ7" s="6"/>
      <c r="CK7" s="6"/>
      <c r="CL7" s="6"/>
      <c r="CM7" s="6"/>
      <c r="CN7" s="7"/>
      <c r="CO7" s="7"/>
    </row>
    <row r="8" spans="1:93" x14ac:dyDescent="0.25">
      <c r="A8" t="s">
        <v>90</v>
      </c>
      <c r="B8" s="3" t="s">
        <v>84</v>
      </c>
      <c r="C8" s="5">
        <v>-3352762</v>
      </c>
      <c r="D8" s="5">
        <v>-7062166</v>
      </c>
      <c r="E8" s="6" t="s">
        <v>91</v>
      </c>
      <c r="F8" s="10">
        <v>-33529613</v>
      </c>
      <c r="G8" s="6">
        <v>-70621632</v>
      </c>
      <c r="H8" s="6" t="s">
        <v>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11"/>
      <c r="BT8" s="11"/>
      <c r="BU8" s="6"/>
      <c r="BV8" s="6"/>
      <c r="BW8" s="6"/>
      <c r="BX8" s="6"/>
      <c r="BY8" s="6"/>
      <c r="BZ8" s="6"/>
      <c r="CA8" s="6"/>
      <c r="CB8" s="6"/>
    </row>
    <row r="9" spans="1:93" x14ac:dyDescent="0.25">
      <c r="A9" t="s">
        <v>90</v>
      </c>
      <c r="B9" s="3" t="s">
        <v>84</v>
      </c>
      <c r="C9" s="5">
        <v>-3352762</v>
      </c>
      <c r="D9" s="5">
        <v>-7062166</v>
      </c>
      <c r="E9" s="6" t="s">
        <v>93</v>
      </c>
      <c r="F9" s="10">
        <v>-33529527</v>
      </c>
      <c r="G9" s="10">
        <v>-70622900</v>
      </c>
      <c r="H9" s="6" t="s">
        <v>94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1</v>
      </c>
      <c r="Z9" s="6">
        <v>0</v>
      </c>
      <c r="AA9" s="6">
        <v>0</v>
      </c>
      <c r="AB9" s="6">
        <v>0</v>
      </c>
      <c r="AC9" s="6">
        <v>1</v>
      </c>
      <c r="AD9" s="6">
        <v>1</v>
      </c>
      <c r="AE9" s="6">
        <v>0</v>
      </c>
      <c r="AF9" s="6">
        <v>1</v>
      </c>
      <c r="AG9" s="6">
        <v>1</v>
      </c>
      <c r="AH9" s="6">
        <v>0</v>
      </c>
      <c r="AI9" s="6">
        <v>0</v>
      </c>
      <c r="AJ9" s="6">
        <v>0</v>
      </c>
      <c r="AK9" s="6"/>
      <c r="AL9" s="6"/>
      <c r="AM9" s="6">
        <v>1</v>
      </c>
      <c r="AN9" s="6">
        <v>1</v>
      </c>
      <c r="AO9" s="6">
        <v>1</v>
      </c>
      <c r="AP9" s="6">
        <v>1</v>
      </c>
      <c r="AQ9" s="6">
        <v>0</v>
      </c>
      <c r="AR9" s="6">
        <v>0</v>
      </c>
      <c r="AS9" s="6">
        <v>0</v>
      </c>
      <c r="AT9" s="6">
        <v>1</v>
      </c>
      <c r="AU9" s="6">
        <v>1</v>
      </c>
      <c r="AV9" s="6">
        <v>0</v>
      </c>
      <c r="AW9" s="6">
        <v>1</v>
      </c>
      <c r="AX9" s="6">
        <v>1</v>
      </c>
      <c r="AY9" s="6">
        <v>1</v>
      </c>
      <c r="AZ9" s="6"/>
      <c r="BA9" s="6"/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/>
      <c r="BK9" s="6"/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11"/>
      <c r="BT9" s="11"/>
      <c r="BU9" s="6"/>
      <c r="BV9" s="6"/>
      <c r="BW9" s="6"/>
      <c r="BX9" s="6"/>
      <c r="BY9" s="6"/>
      <c r="BZ9" s="6"/>
      <c r="CA9" s="6"/>
      <c r="CB9" s="6"/>
    </row>
    <row r="10" spans="1:93" x14ac:dyDescent="0.25">
      <c r="A10" t="s">
        <v>90</v>
      </c>
      <c r="B10" s="3" t="s">
        <v>84</v>
      </c>
      <c r="C10" s="5">
        <v>-3352762</v>
      </c>
      <c r="D10" s="5">
        <v>-7062166</v>
      </c>
      <c r="E10" s="6" t="s">
        <v>95</v>
      </c>
      <c r="F10" s="5">
        <v>-33529891</v>
      </c>
      <c r="G10" s="5">
        <v>-70627361</v>
      </c>
      <c r="H10" s="6" t="s">
        <v>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11"/>
      <c r="BT10" s="11"/>
      <c r="BU10" s="6"/>
      <c r="BV10" s="6"/>
      <c r="BW10" s="6"/>
      <c r="BX10" s="6"/>
      <c r="BY10" s="6"/>
      <c r="BZ10" s="6"/>
      <c r="CA10" s="6"/>
      <c r="CB10" s="6"/>
    </row>
    <row r="11" spans="1:93" x14ac:dyDescent="0.25">
      <c r="A11" t="s">
        <v>90</v>
      </c>
      <c r="B11" s="3" t="s">
        <v>84</v>
      </c>
      <c r="C11" s="5">
        <v>-3352762</v>
      </c>
      <c r="D11" s="5">
        <v>-7062166</v>
      </c>
      <c r="E11" s="6" t="s">
        <v>97</v>
      </c>
      <c r="F11" s="6">
        <v>-33527060</v>
      </c>
      <c r="G11" s="6">
        <v>-70621060</v>
      </c>
      <c r="H11" s="6" t="s">
        <v>94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1"/>
      <c r="BT11" s="11"/>
      <c r="BU11" s="6"/>
      <c r="BV11" s="6"/>
      <c r="BW11" s="6"/>
      <c r="BX11" s="6"/>
      <c r="BY11" s="6"/>
      <c r="BZ11" s="6"/>
      <c r="CA11" s="6"/>
      <c r="CB11" s="6"/>
    </row>
    <row r="12" spans="1:93" x14ac:dyDescent="0.25">
      <c r="A12" t="s">
        <v>90</v>
      </c>
      <c r="B12" s="3" t="s">
        <v>84</v>
      </c>
      <c r="C12" s="5">
        <v>-3352762</v>
      </c>
      <c r="D12" s="5">
        <v>-7062166</v>
      </c>
      <c r="E12" s="6" t="s">
        <v>98</v>
      </c>
      <c r="F12" s="6">
        <v>-33527025</v>
      </c>
      <c r="G12" s="9">
        <v>-70619381</v>
      </c>
      <c r="H12" s="9" t="s">
        <v>92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0</v>
      </c>
      <c r="AC12" s="6">
        <v>1</v>
      </c>
      <c r="AD12" s="6">
        <v>1</v>
      </c>
      <c r="AE12" s="6">
        <v>0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/>
      <c r="AL12" s="6"/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0</v>
      </c>
      <c r="AS12" s="6">
        <v>1</v>
      </c>
      <c r="AT12" s="6">
        <v>0</v>
      </c>
      <c r="AU12" s="6">
        <v>0</v>
      </c>
      <c r="AV12" s="6">
        <v>0</v>
      </c>
      <c r="AW12" s="6">
        <v>1</v>
      </c>
      <c r="AX12" s="6">
        <v>1</v>
      </c>
      <c r="AY12" s="6">
        <v>1</v>
      </c>
      <c r="AZ12" s="6"/>
      <c r="BA12" s="6"/>
      <c r="BB12" s="6">
        <v>0</v>
      </c>
      <c r="BC12" s="6">
        <v>0</v>
      </c>
      <c r="BD12" s="6">
        <v>1</v>
      </c>
      <c r="BE12" s="6">
        <v>1</v>
      </c>
      <c r="BF12" s="6">
        <v>1</v>
      </c>
      <c r="BG12" s="6">
        <v>0</v>
      </c>
      <c r="BH12" s="6">
        <v>1</v>
      </c>
      <c r="BI12" s="6">
        <v>1</v>
      </c>
      <c r="BJ12" s="6"/>
      <c r="BK12" s="6"/>
      <c r="BL12" s="6">
        <v>0</v>
      </c>
      <c r="BM12" s="6">
        <v>0</v>
      </c>
      <c r="BN12" s="6">
        <v>0</v>
      </c>
      <c r="BO12" s="6">
        <v>1</v>
      </c>
      <c r="BP12" s="6">
        <v>0</v>
      </c>
      <c r="BQ12" s="6">
        <v>0</v>
      </c>
      <c r="BR12" s="6">
        <v>0</v>
      </c>
      <c r="BS12" s="11"/>
      <c r="BT12" s="11"/>
      <c r="BU12" s="6"/>
      <c r="BV12" s="6"/>
      <c r="BW12" s="6"/>
      <c r="BX12" s="6"/>
      <c r="BY12" s="6"/>
      <c r="BZ12" s="6"/>
      <c r="CA12" s="6"/>
      <c r="CB12" s="6"/>
    </row>
    <row r="13" spans="1:93" x14ac:dyDescent="0.25">
      <c r="A13" t="s">
        <v>90</v>
      </c>
      <c r="B13" s="3" t="s">
        <v>84</v>
      </c>
      <c r="C13" s="5">
        <v>-3352762</v>
      </c>
      <c r="D13" s="5">
        <v>-7062166</v>
      </c>
      <c r="E13" s="6" t="s">
        <v>99</v>
      </c>
      <c r="F13" s="6">
        <v>-33527188</v>
      </c>
      <c r="G13" s="6">
        <v>-70617768</v>
      </c>
      <c r="H13" s="6" t="s">
        <v>100</v>
      </c>
      <c r="I13" s="6">
        <v>0</v>
      </c>
      <c r="J13" s="6">
        <v>0</v>
      </c>
      <c r="K13" s="6">
        <v>0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</v>
      </c>
      <c r="AD13" s="6">
        <v>1</v>
      </c>
      <c r="AE13" s="6">
        <v>0</v>
      </c>
      <c r="AF13" s="6">
        <v>1</v>
      </c>
      <c r="AG13" s="6">
        <v>1</v>
      </c>
      <c r="AH13" s="6">
        <v>0</v>
      </c>
      <c r="AI13" s="6">
        <v>0</v>
      </c>
      <c r="AJ13" s="6">
        <v>0</v>
      </c>
      <c r="AK13" s="6"/>
      <c r="AL13" s="6"/>
      <c r="AM13" s="6">
        <v>1</v>
      </c>
      <c r="AN13" s="6">
        <v>1</v>
      </c>
      <c r="AO13" s="6">
        <v>0</v>
      </c>
      <c r="AP13" s="6">
        <v>1</v>
      </c>
      <c r="AQ13" s="6">
        <v>1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1</v>
      </c>
      <c r="AX13" s="6">
        <v>1</v>
      </c>
      <c r="AY13" s="6">
        <v>0</v>
      </c>
      <c r="AZ13" s="6"/>
      <c r="BA13" s="6"/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1</v>
      </c>
      <c r="BJ13" s="6"/>
      <c r="BK13" s="6"/>
      <c r="BL13" s="6">
        <v>0</v>
      </c>
      <c r="BM13" s="6">
        <v>0</v>
      </c>
      <c r="BN13" s="6">
        <v>0</v>
      </c>
      <c r="BO13" s="6">
        <v>1</v>
      </c>
      <c r="BP13" s="6">
        <v>0</v>
      </c>
      <c r="BQ13" s="6">
        <v>0</v>
      </c>
      <c r="BR13" s="6">
        <v>0</v>
      </c>
      <c r="BS13" s="11"/>
      <c r="BT13" s="11"/>
      <c r="BU13" s="6"/>
      <c r="BV13" s="6"/>
      <c r="BW13" s="6"/>
      <c r="BX13" s="6"/>
      <c r="BY13" s="6"/>
      <c r="BZ13" s="6"/>
      <c r="CA13" s="6"/>
      <c r="CB13" s="6"/>
    </row>
    <row r="14" spans="1:93" x14ac:dyDescent="0.25">
      <c r="A14" t="s">
        <v>90</v>
      </c>
      <c r="B14" s="3" t="s">
        <v>84</v>
      </c>
      <c r="C14" s="5">
        <v>-3352762</v>
      </c>
      <c r="D14" s="5">
        <v>-7062166</v>
      </c>
      <c r="E14" s="6" t="s">
        <v>101</v>
      </c>
      <c r="F14" s="6">
        <v>-33527210</v>
      </c>
      <c r="G14" s="6">
        <v>-70617793</v>
      </c>
      <c r="H14" s="6" t="s">
        <v>94</v>
      </c>
      <c r="I14" s="6">
        <v>1</v>
      </c>
      <c r="J14" s="6">
        <v>0</v>
      </c>
      <c r="K14" s="6">
        <v>0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0</v>
      </c>
      <c r="V14" s="6">
        <v>0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0</v>
      </c>
      <c r="AC14" s="6">
        <v>1</v>
      </c>
      <c r="AD14" s="6">
        <v>1</v>
      </c>
      <c r="AE14" s="6">
        <v>0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/>
      <c r="AL14" s="6"/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0</v>
      </c>
      <c r="AS14" s="6">
        <v>1</v>
      </c>
      <c r="AT14" s="6">
        <v>0</v>
      </c>
      <c r="AU14" s="6">
        <v>0</v>
      </c>
      <c r="AV14" s="6">
        <v>0</v>
      </c>
      <c r="AW14" s="6">
        <v>1</v>
      </c>
      <c r="AX14" s="6">
        <v>1</v>
      </c>
      <c r="AY14" s="6">
        <v>1</v>
      </c>
      <c r="AZ14" s="6"/>
      <c r="BA14" s="6"/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0</v>
      </c>
      <c r="BH14" s="6">
        <v>1</v>
      </c>
      <c r="BI14" s="6">
        <v>1</v>
      </c>
      <c r="BJ14" s="6"/>
      <c r="BK14" s="6"/>
      <c r="BL14" s="6">
        <v>0</v>
      </c>
      <c r="BM14" s="6">
        <v>0</v>
      </c>
      <c r="BN14" s="6">
        <v>1</v>
      </c>
      <c r="BO14" s="6">
        <v>1</v>
      </c>
      <c r="BP14" s="6">
        <v>0</v>
      </c>
      <c r="BQ14" s="6">
        <v>1</v>
      </c>
      <c r="BR14" s="6">
        <v>0</v>
      </c>
      <c r="BS14" s="11"/>
      <c r="BT14" s="11"/>
      <c r="BU14" s="6"/>
      <c r="BV14" s="6"/>
      <c r="BW14" s="6"/>
      <c r="BX14" s="6"/>
      <c r="BY14" s="6"/>
      <c r="BZ14" s="6"/>
      <c r="CA14" s="6"/>
      <c r="CB14" s="6"/>
    </row>
    <row r="15" spans="1:93" x14ac:dyDescent="0.25">
      <c r="A15" t="s">
        <v>90</v>
      </c>
      <c r="B15" s="3" t="s">
        <v>84</v>
      </c>
      <c r="C15" s="5">
        <v>-3352762</v>
      </c>
      <c r="D15" s="5">
        <v>-7062166</v>
      </c>
      <c r="E15" s="6" t="s">
        <v>102</v>
      </c>
      <c r="F15" s="6">
        <v>-33528980</v>
      </c>
      <c r="G15" s="6">
        <v>-70616898</v>
      </c>
      <c r="H15" s="6" t="s">
        <v>94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0</v>
      </c>
      <c r="V15" s="6">
        <v>0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0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/>
      <c r="AL15" s="6"/>
      <c r="AM15" s="6">
        <v>1</v>
      </c>
      <c r="AN15" s="6">
        <v>1</v>
      </c>
      <c r="AO15" s="6">
        <v>1</v>
      </c>
      <c r="AP15" s="6">
        <v>1</v>
      </c>
      <c r="AQ15" s="6">
        <v>1</v>
      </c>
      <c r="AR15" s="6">
        <v>0</v>
      </c>
      <c r="AS15" s="6">
        <v>1</v>
      </c>
      <c r="AT15" s="6">
        <v>0</v>
      </c>
      <c r="AU15" s="6">
        <v>0</v>
      </c>
      <c r="AV15" s="6">
        <v>0</v>
      </c>
      <c r="AW15" s="6">
        <v>1</v>
      </c>
      <c r="AX15" s="6">
        <v>1</v>
      </c>
      <c r="AY15" s="6">
        <v>1</v>
      </c>
      <c r="AZ15" s="6"/>
      <c r="BA15" s="6"/>
      <c r="BB15" s="6">
        <v>1</v>
      </c>
      <c r="BC15" s="6">
        <v>1</v>
      </c>
      <c r="BD15" s="6">
        <v>1</v>
      </c>
      <c r="BE15" s="6">
        <v>1</v>
      </c>
      <c r="BF15" s="6">
        <v>0</v>
      </c>
      <c r="BG15" s="6">
        <v>0</v>
      </c>
      <c r="BH15" s="6">
        <v>1</v>
      </c>
      <c r="BI15" s="6">
        <v>1</v>
      </c>
      <c r="BJ15" s="6"/>
      <c r="BK15" s="6"/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11"/>
      <c r="BT15" s="11"/>
      <c r="BU15" s="6"/>
      <c r="BV15" s="6"/>
      <c r="BW15" s="6"/>
      <c r="BX15" s="6"/>
      <c r="BY15" s="6"/>
      <c r="BZ15" s="6"/>
      <c r="CA15" s="6"/>
      <c r="CB15" s="6"/>
    </row>
    <row r="16" spans="1:93" x14ac:dyDescent="0.25">
      <c r="A16" t="s">
        <v>90</v>
      </c>
      <c r="B16" s="3" t="s">
        <v>84</v>
      </c>
      <c r="C16" s="5">
        <v>-3352762</v>
      </c>
      <c r="D16" s="5">
        <v>-7062166</v>
      </c>
      <c r="E16" s="6" t="s">
        <v>103</v>
      </c>
      <c r="F16" s="9">
        <v>-33530135</v>
      </c>
      <c r="G16" s="6">
        <v>-70616782</v>
      </c>
      <c r="H16" s="6" t="s">
        <v>94</v>
      </c>
      <c r="I16" s="6">
        <v>1</v>
      </c>
      <c r="J16" s="6">
        <v>0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0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0</v>
      </c>
      <c r="AC16" s="6">
        <v>1</v>
      </c>
      <c r="AD16" s="6">
        <v>1</v>
      </c>
      <c r="AE16" s="6">
        <v>0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/>
      <c r="AL16" s="6"/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0</v>
      </c>
      <c r="AU16" s="6">
        <v>0</v>
      </c>
      <c r="AV16" s="6">
        <v>0</v>
      </c>
      <c r="AW16" s="6">
        <v>1</v>
      </c>
      <c r="AX16" s="6">
        <v>1</v>
      </c>
      <c r="AY16" s="6">
        <v>1</v>
      </c>
      <c r="AZ16" s="6"/>
      <c r="BA16" s="6"/>
      <c r="BB16" s="6">
        <v>1</v>
      </c>
      <c r="BC16" s="6">
        <v>1</v>
      </c>
      <c r="BD16" s="6">
        <v>1</v>
      </c>
      <c r="BE16" s="6">
        <v>1</v>
      </c>
      <c r="BF16" s="6">
        <v>1</v>
      </c>
      <c r="BG16" s="6">
        <v>1</v>
      </c>
      <c r="BH16" s="6">
        <v>1</v>
      </c>
      <c r="BI16" s="6">
        <v>1</v>
      </c>
      <c r="BJ16" s="6"/>
      <c r="BK16" s="6"/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11"/>
      <c r="BT16" s="11"/>
      <c r="BU16" s="6"/>
      <c r="BV16" s="6"/>
      <c r="BW16" s="6"/>
      <c r="BX16" s="6"/>
      <c r="BY16" s="6"/>
      <c r="BZ16" s="6"/>
      <c r="CA16" s="6"/>
      <c r="CB16" s="6"/>
    </row>
    <row r="17" spans="1:80" x14ac:dyDescent="0.25">
      <c r="A17" t="s">
        <v>90</v>
      </c>
      <c r="B17" s="3" t="s">
        <v>84</v>
      </c>
      <c r="C17" s="5">
        <v>-3352762</v>
      </c>
      <c r="D17" s="5">
        <v>-7062166</v>
      </c>
      <c r="E17" s="6" t="s">
        <v>104</v>
      </c>
      <c r="F17" s="6">
        <v>-33531608</v>
      </c>
      <c r="G17" s="6">
        <v>-70617763</v>
      </c>
      <c r="H17" s="6" t="s">
        <v>96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/>
      <c r="AL17" s="6"/>
      <c r="AM17" s="6">
        <v>1</v>
      </c>
      <c r="AN17" s="6">
        <v>1</v>
      </c>
      <c r="AO17" s="6">
        <v>0</v>
      </c>
      <c r="AP17" s="6">
        <v>1</v>
      </c>
      <c r="AQ17" s="6">
        <v>1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1</v>
      </c>
      <c r="AX17" s="6">
        <v>1</v>
      </c>
      <c r="AY17" s="6">
        <v>0</v>
      </c>
      <c r="AZ17" s="6"/>
      <c r="BA17" s="6"/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1</v>
      </c>
      <c r="BJ17" s="6"/>
      <c r="BK17" s="6"/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11"/>
      <c r="BT17" s="11"/>
      <c r="BU17" s="6"/>
      <c r="BV17" s="6"/>
      <c r="BW17" s="6"/>
      <c r="BX17" s="6"/>
      <c r="BY17" s="6"/>
      <c r="BZ17" s="6"/>
      <c r="CA17" s="6"/>
      <c r="CB17" s="6"/>
    </row>
    <row r="18" spans="1:80" x14ac:dyDescent="0.25">
      <c r="A18" t="s">
        <v>90</v>
      </c>
      <c r="B18" s="3" t="s">
        <v>84</v>
      </c>
      <c r="C18" s="5">
        <v>-3352762</v>
      </c>
      <c r="D18" s="5">
        <v>-7062166</v>
      </c>
      <c r="E18" s="6" t="s">
        <v>105</v>
      </c>
      <c r="F18" s="6">
        <v>-33531742</v>
      </c>
      <c r="G18" s="9">
        <v>-70618229</v>
      </c>
      <c r="H18" s="9" t="s">
        <v>92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0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/>
      <c r="AL18" s="6"/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0</v>
      </c>
      <c r="AW18" s="6">
        <v>1</v>
      </c>
      <c r="AX18" s="6">
        <v>1</v>
      </c>
      <c r="AY18" s="6">
        <v>1</v>
      </c>
      <c r="AZ18" s="6"/>
      <c r="BA18" s="6"/>
      <c r="BB18" s="6">
        <v>1</v>
      </c>
      <c r="BC18" s="6">
        <v>1</v>
      </c>
      <c r="BD18" s="6">
        <v>1</v>
      </c>
      <c r="BE18" s="6">
        <v>1</v>
      </c>
      <c r="BF18" s="6">
        <v>1</v>
      </c>
      <c r="BG18" s="6">
        <v>1</v>
      </c>
      <c r="BH18" s="6">
        <v>1</v>
      </c>
      <c r="BI18" s="6">
        <v>1</v>
      </c>
      <c r="BJ18" s="6"/>
      <c r="BK18" s="6"/>
      <c r="BL18" s="6">
        <v>0</v>
      </c>
      <c r="BM18" s="6">
        <v>0</v>
      </c>
      <c r="BN18" s="6">
        <v>0</v>
      </c>
      <c r="BO18" s="6">
        <v>1</v>
      </c>
      <c r="BP18" s="6">
        <v>0</v>
      </c>
      <c r="BQ18" s="6">
        <v>0</v>
      </c>
      <c r="BR18" s="6">
        <v>0</v>
      </c>
      <c r="BS18" s="11"/>
      <c r="BT18" s="11"/>
      <c r="BU18" s="6"/>
      <c r="BV18" s="6"/>
      <c r="BW18" s="6"/>
      <c r="BX18" s="6"/>
      <c r="BY18" s="6"/>
      <c r="BZ18" s="6"/>
      <c r="CA18" s="6"/>
      <c r="CB18" s="6"/>
    </row>
    <row r="19" spans="1:80" x14ac:dyDescent="0.25">
      <c r="A19" t="s">
        <v>90</v>
      </c>
      <c r="B19" s="3" t="s">
        <v>84</v>
      </c>
      <c r="C19" s="5">
        <v>-3352762</v>
      </c>
      <c r="D19" s="5">
        <v>-7062166</v>
      </c>
      <c r="E19" s="6" t="s">
        <v>106</v>
      </c>
      <c r="F19" s="6">
        <v>-33531755</v>
      </c>
      <c r="G19" s="6">
        <v>-70618595</v>
      </c>
      <c r="H19" s="6" t="s">
        <v>94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11"/>
      <c r="BT19" s="11"/>
      <c r="BU19" s="6"/>
      <c r="BV19" s="6"/>
      <c r="BW19" s="6"/>
      <c r="BX19" s="6"/>
      <c r="BY19" s="6"/>
      <c r="BZ19" s="6"/>
      <c r="CA19" s="6"/>
      <c r="CB19" s="6"/>
    </row>
    <row r="20" spans="1:80" x14ac:dyDescent="0.25">
      <c r="A20" t="s">
        <v>90</v>
      </c>
      <c r="B20" s="3" t="s">
        <v>84</v>
      </c>
      <c r="C20" s="5">
        <v>-3352762</v>
      </c>
      <c r="D20" s="5">
        <v>-7062166</v>
      </c>
      <c r="E20" s="6" t="s">
        <v>107</v>
      </c>
      <c r="F20" s="6">
        <v>-33531690</v>
      </c>
      <c r="G20" s="6">
        <v>-70619931</v>
      </c>
      <c r="H20" s="6" t="s">
        <v>108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  <c r="S20" s="6">
        <v>0</v>
      </c>
      <c r="T20" s="6">
        <v>0</v>
      </c>
      <c r="U20" s="6">
        <v>1</v>
      </c>
      <c r="V20" s="6">
        <v>1</v>
      </c>
      <c r="W20" s="6">
        <v>1</v>
      </c>
      <c r="X20" s="6">
        <v>1</v>
      </c>
      <c r="Y20" s="6">
        <v>0</v>
      </c>
      <c r="Z20" s="6">
        <v>1</v>
      </c>
      <c r="AA20" s="6">
        <v>0</v>
      </c>
      <c r="AB20" s="6">
        <v>0</v>
      </c>
      <c r="AC20" s="6">
        <v>1</v>
      </c>
      <c r="AD20" s="6">
        <v>1</v>
      </c>
      <c r="AE20" s="6">
        <v>0</v>
      </c>
      <c r="AF20" s="6">
        <v>1</v>
      </c>
      <c r="AG20" s="6">
        <v>1</v>
      </c>
      <c r="AH20" s="6">
        <v>1</v>
      </c>
      <c r="AI20" s="6">
        <v>0</v>
      </c>
      <c r="AJ20" s="6">
        <v>1</v>
      </c>
      <c r="AK20" s="6"/>
      <c r="AL20" s="6"/>
      <c r="AM20" s="6">
        <v>0</v>
      </c>
      <c r="AN20" s="6">
        <v>0</v>
      </c>
      <c r="AO20" s="6">
        <v>1</v>
      </c>
      <c r="AP20" s="6">
        <v>1</v>
      </c>
      <c r="AQ20" s="6">
        <v>1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1</v>
      </c>
      <c r="AX20" s="6">
        <v>1</v>
      </c>
      <c r="AY20" s="6">
        <v>0</v>
      </c>
      <c r="AZ20" s="6"/>
      <c r="BA20" s="6"/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1</v>
      </c>
      <c r="BH20" s="6">
        <v>0</v>
      </c>
      <c r="BI20" s="6">
        <v>1</v>
      </c>
      <c r="BJ20" s="6"/>
      <c r="BK20" s="6"/>
      <c r="BL20" s="6">
        <v>0</v>
      </c>
      <c r="BM20" s="6">
        <v>0</v>
      </c>
      <c r="BN20" s="6">
        <v>0</v>
      </c>
      <c r="BO20" s="6">
        <v>1</v>
      </c>
      <c r="BP20" s="6">
        <v>0</v>
      </c>
      <c r="BQ20" s="6">
        <v>0</v>
      </c>
      <c r="BR20" s="6">
        <v>0</v>
      </c>
      <c r="BS20" s="11"/>
      <c r="BT20" s="11"/>
      <c r="BU20" s="6"/>
      <c r="BV20" s="6"/>
      <c r="BW20" s="6"/>
      <c r="BX20" s="6"/>
      <c r="BY20" s="6"/>
      <c r="BZ20" s="6"/>
      <c r="CA20" s="6"/>
      <c r="CB20" s="6"/>
    </row>
    <row r="21" spans="1:80" x14ac:dyDescent="0.25">
      <c r="A21" t="s">
        <v>90</v>
      </c>
      <c r="B21" s="3" t="s">
        <v>84</v>
      </c>
      <c r="C21" s="5">
        <v>-3352762</v>
      </c>
      <c r="D21" s="5">
        <v>-7062166</v>
      </c>
      <c r="E21" s="6" t="s">
        <v>109</v>
      </c>
      <c r="F21" s="6">
        <v>-33531808</v>
      </c>
      <c r="G21" s="6">
        <v>-70620485</v>
      </c>
      <c r="H21" s="6" t="s">
        <v>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11"/>
      <c r="BT21" s="11"/>
      <c r="BU21" s="6"/>
      <c r="BV21" s="6"/>
      <c r="BW21" s="6"/>
      <c r="BX21" s="6"/>
      <c r="BY21" s="6"/>
      <c r="BZ21" s="6"/>
      <c r="CA21" s="6"/>
      <c r="CB21" s="6"/>
    </row>
    <row r="22" spans="1:80" x14ac:dyDescent="0.25">
      <c r="A22" t="s">
        <v>90</v>
      </c>
      <c r="B22" s="3" t="s">
        <v>84</v>
      </c>
      <c r="C22" s="5">
        <v>-3352762</v>
      </c>
      <c r="D22" s="5">
        <v>-7062166</v>
      </c>
      <c r="E22" s="6" t="s">
        <v>110</v>
      </c>
      <c r="F22" s="6">
        <v>-33532795</v>
      </c>
      <c r="G22" s="6">
        <v>-70619959</v>
      </c>
      <c r="H22" s="6" t="s">
        <v>92</v>
      </c>
      <c r="I22" s="6">
        <v>0</v>
      </c>
      <c r="J22" s="6">
        <v>0</v>
      </c>
      <c r="K22" s="6">
        <v>0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0</v>
      </c>
      <c r="V22" s="6">
        <v>0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0</v>
      </c>
      <c r="AF22" s="6">
        <v>1</v>
      </c>
      <c r="AG22" s="6">
        <v>1</v>
      </c>
      <c r="AH22" s="6">
        <v>1</v>
      </c>
      <c r="AI22" s="6">
        <v>1</v>
      </c>
      <c r="AJ22" s="6">
        <v>1</v>
      </c>
      <c r="AK22" s="6"/>
      <c r="AL22" s="6"/>
      <c r="AM22" s="6">
        <v>1</v>
      </c>
      <c r="AN22" s="6">
        <v>1</v>
      </c>
      <c r="AO22" s="6">
        <v>1</v>
      </c>
      <c r="AP22" s="6">
        <v>1</v>
      </c>
      <c r="AQ22" s="6">
        <v>1</v>
      </c>
      <c r="AR22" s="6">
        <v>1</v>
      </c>
      <c r="AS22" s="6">
        <v>1</v>
      </c>
      <c r="AT22" s="6">
        <v>1</v>
      </c>
      <c r="AU22" s="6">
        <v>0</v>
      </c>
      <c r="AV22" s="6">
        <v>0</v>
      </c>
      <c r="AW22" s="6">
        <v>1</v>
      </c>
      <c r="AX22" s="6">
        <v>1</v>
      </c>
      <c r="AY22" s="6">
        <v>1</v>
      </c>
      <c r="AZ22" s="6"/>
      <c r="BA22" s="6"/>
      <c r="BB22" s="6">
        <v>1</v>
      </c>
      <c r="BC22" s="6">
        <v>1</v>
      </c>
      <c r="BD22" s="6">
        <v>1</v>
      </c>
      <c r="BE22" s="6">
        <v>1</v>
      </c>
      <c r="BF22" s="6">
        <v>1</v>
      </c>
      <c r="BG22" s="6">
        <v>0</v>
      </c>
      <c r="BH22" s="6">
        <v>1</v>
      </c>
      <c r="BI22" s="6">
        <v>1</v>
      </c>
      <c r="BJ22" s="6"/>
      <c r="BK22" s="6"/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11"/>
      <c r="BT22" s="11"/>
      <c r="BU22" s="6"/>
      <c r="BV22" s="6"/>
      <c r="BW22" s="6"/>
      <c r="BX22" s="6"/>
      <c r="BY22" s="6"/>
      <c r="BZ22" s="6"/>
      <c r="CA22" s="6"/>
      <c r="CB22" s="6"/>
    </row>
    <row r="23" spans="1:80" x14ac:dyDescent="0.25">
      <c r="A23" t="s">
        <v>90</v>
      </c>
      <c r="B23" s="3" t="s">
        <v>84</v>
      </c>
      <c r="C23" s="5">
        <v>-3352762</v>
      </c>
      <c r="D23" s="5">
        <v>-7062166</v>
      </c>
      <c r="E23" s="6" t="s">
        <v>111</v>
      </c>
      <c r="F23" s="6">
        <v>-33531856</v>
      </c>
      <c r="G23" s="6">
        <v>-70619960</v>
      </c>
      <c r="H23" s="3" t="s">
        <v>96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12">
        <v>0</v>
      </c>
      <c r="AI23" s="12">
        <v>0</v>
      </c>
      <c r="AJ23" s="12">
        <v>0</v>
      </c>
      <c r="AK23" s="6"/>
      <c r="AL23" s="6"/>
      <c r="AM23" s="6">
        <v>1</v>
      </c>
      <c r="AN23" s="6">
        <v>1</v>
      </c>
      <c r="AO23" s="6">
        <v>0</v>
      </c>
      <c r="AP23" s="6">
        <v>2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1</v>
      </c>
      <c r="AX23" s="6">
        <v>1</v>
      </c>
      <c r="AY23" s="6">
        <v>1</v>
      </c>
      <c r="AZ23" s="6"/>
      <c r="BA23" s="6"/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1</v>
      </c>
      <c r="BJ23" s="6"/>
      <c r="BK23" s="6"/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11"/>
      <c r="BT23" s="11"/>
      <c r="BU23" s="6"/>
      <c r="BV23" s="6"/>
      <c r="BW23" s="6"/>
      <c r="BX23" s="6"/>
      <c r="BY23" s="6"/>
      <c r="BZ23" s="6"/>
      <c r="CA23" s="6"/>
      <c r="CB23" s="6"/>
    </row>
    <row r="24" spans="1:80" x14ac:dyDescent="0.25">
      <c r="A24" t="s">
        <v>90</v>
      </c>
      <c r="B24" s="3" t="s">
        <v>84</v>
      </c>
      <c r="C24" s="5">
        <v>-3352762</v>
      </c>
      <c r="D24" s="5">
        <v>-7062166</v>
      </c>
      <c r="E24" s="6" t="s">
        <v>112</v>
      </c>
      <c r="F24" s="6">
        <v>-33531930</v>
      </c>
      <c r="G24" s="6">
        <v>-70621255</v>
      </c>
      <c r="H24" s="6" t="s">
        <v>94</v>
      </c>
      <c r="I24" s="6">
        <v>1</v>
      </c>
      <c r="J24" s="6">
        <v>0</v>
      </c>
      <c r="K24" s="6">
        <v>1</v>
      </c>
      <c r="L24" s="6">
        <v>0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0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0</v>
      </c>
      <c r="AB24" s="6">
        <v>0</v>
      </c>
      <c r="AC24" s="6">
        <v>1</v>
      </c>
      <c r="AD24" s="6">
        <v>1</v>
      </c>
      <c r="AE24" s="6">
        <v>0</v>
      </c>
      <c r="AF24" s="6">
        <v>1</v>
      </c>
      <c r="AG24" s="6">
        <v>1</v>
      </c>
      <c r="AH24" s="12">
        <v>1</v>
      </c>
      <c r="AI24" s="12">
        <v>1</v>
      </c>
      <c r="AJ24" s="12">
        <v>1</v>
      </c>
      <c r="AK24" s="6"/>
      <c r="AL24" s="6"/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0</v>
      </c>
      <c r="AU24" s="3">
        <v>0</v>
      </c>
      <c r="AV24" s="3">
        <v>0</v>
      </c>
      <c r="AW24" s="3">
        <v>1</v>
      </c>
      <c r="AX24" s="3">
        <v>1</v>
      </c>
      <c r="AY24" s="3">
        <v>1</v>
      </c>
      <c r="AZ24" s="6"/>
      <c r="BA24" s="6"/>
      <c r="BB24" s="3">
        <v>0</v>
      </c>
      <c r="BC24" s="3">
        <v>1</v>
      </c>
      <c r="BD24" s="3">
        <v>1</v>
      </c>
      <c r="BE24" s="3">
        <v>1</v>
      </c>
      <c r="BF24" s="3">
        <v>1</v>
      </c>
      <c r="BG24" s="3">
        <v>0</v>
      </c>
      <c r="BH24" s="3">
        <v>1</v>
      </c>
      <c r="BI24" s="3">
        <v>1</v>
      </c>
      <c r="BJ24" s="6"/>
      <c r="BK24" s="6"/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11"/>
      <c r="BT24" s="11"/>
      <c r="BU24" s="6"/>
      <c r="BV24" s="6"/>
      <c r="BW24" s="6"/>
      <c r="BX24" s="6"/>
      <c r="BY24" s="6"/>
      <c r="BZ24" s="6"/>
      <c r="CA24" s="6"/>
      <c r="CB24" s="6"/>
    </row>
    <row r="25" spans="1:80" x14ac:dyDescent="0.25">
      <c r="A25" t="s">
        <v>90</v>
      </c>
      <c r="B25" s="3" t="s">
        <v>84</v>
      </c>
      <c r="C25" s="5">
        <v>-3352762</v>
      </c>
      <c r="D25" s="5">
        <v>-7062166</v>
      </c>
      <c r="E25" s="6" t="s">
        <v>113</v>
      </c>
      <c r="F25" s="6">
        <v>-33532398</v>
      </c>
      <c r="G25" s="6">
        <v>-70623053</v>
      </c>
      <c r="H25" s="6" t="s">
        <v>114</v>
      </c>
      <c r="I25" s="6">
        <v>0</v>
      </c>
      <c r="J25" s="6">
        <v>0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0</v>
      </c>
      <c r="U25" s="6">
        <v>0</v>
      </c>
      <c r="V25" s="6">
        <v>0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0</v>
      </c>
      <c r="AC25" s="6">
        <v>1</v>
      </c>
      <c r="AD25" s="6">
        <v>1</v>
      </c>
      <c r="AE25" s="6">
        <v>0</v>
      </c>
      <c r="AF25" s="6">
        <v>1</v>
      </c>
      <c r="AG25" s="6">
        <v>1</v>
      </c>
      <c r="AH25" s="12">
        <v>1</v>
      </c>
      <c r="AI25" s="12">
        <v>1</v>
      </c>
      <c r="AJ25" s="12">
        <v>1</v>
      </c>
      <c r="AK25" s="6"/>
      <c r="AL25" s="6"/>
      <c r="AM25" s="6">
        <v>1</v>
      </c>
      <c r="AN25" s="6">
        <v>1</v>
      </c>
      <c r="AO25" s="6">
        <v>1</v>
      </c>
      <c r="AP25" s="6">
        <v>1</v>
      </c>
      <c r="AQ25" s="6">
        <v>1</v>
      </c>
      <c r="AR25" s="6">
        <v>1</v>
      </c>
      <c r="AS25" s="6">
        <v>0</v>
      </c>
      <c r="AT25" s="6">
        <v>1</v>
      </c>
      <c r="AU25" s="6">
        <v>1</v>
      </c>
      <c r="AV25" s="6">
        <v>0</v>
      </c>
      <c r="AW25" s="6">
        <v>1</v>
      </c>
      <c r="AX25" s="6">
        <v>1</v>
      </c>
      <c r="AY25" s="6">
        <v>1</v>
      </c>
      <c r="AZ25" s="6"/>
      <c r="BA25" s="6"/>
      <c r="BB25" s="6">
        <v>0</v>
      </c>
      <c r="BC25" s="6">
        <v>1</v>
      </c>
      <c r="BD25" s="6">
        <v>1</v>
      </c>
      <c r="BE25" s="6">
        <v>1</v>
      </c>
      <c r="BF25" s="6">
        <v>1</v>
      </c>
      <c r="BG25" s="6">
        <v>0</v>
      </c>
      <c r="BH25" s="6">
        <v>1</v>
      </c>
      <c r="BI25" s="6">
        <v>1</v>
      </c>
      <c r="BJ25" s="6"/>
      <c r="BK25" s="6"/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11"/>
      <c r="BT25" s="11"/>
      <c r="BU25" s="6"/>
      <c r="BV25" s="6"/>
      <c r="BW25" s="6"/>
      <c r="BX25" s="6"/>
      <c r="BY25" s="6"/>
      <c r="BZ25" s="6"/>
      <c r="CA25" s="6"/>
      <c r="CB25" s="6"/>
    </row>
    <row r="26" spans="1:80" x14ac:dyDescent="0.25">
      <c r="A26" t="s">
        <v>90</v>
      </c>
      <c r="B26" s="3" t="s">
        <v>84</v>
      </c>
      <c r="C26" s="5">
        <v>-3352762</v>
      </c>
      <c r="D26" s="5">
        <v>-7062166</v>
      </c>
      <c r="E26" s="6" t="s">
        <v>115</v>
      </c>
      <c r="F26" s="6">
        <v>-33532109</v>
      </c>
      <c r="G26" s="6">
        <v>-70623281</v>
      </c>
      <c r="H26" s="6" t="s">
        <v>96</v>
      </c>
      <c r="I26" s="6">
        <v>0</v>
      </c>
      <c r="J26" s="6">
        <v>0</v>
      </c>
      <c r="K26" s="6">
        <v>1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3">
        <v>1</v>
      </c>
      <c r="AI26" s="3">
        <v>0</v>
      </c>
      <c r="AJ26" s="3">
        <v>0</v>
      </c>
      <c r="AK26" s="6"/>
      <c r="AL26" s="6"/>
      <c r="AM26" s="3">
        <v>1</v>
      </c>
      <c r="AN26" s="3">
        <v>1</v>
      </c>
      <c r="AO26" s="3">
        <v>0</v>
      </c>
      <c r="AP26" s="3">
        <v>1</v>
      </c>
      <c r="AQ26" s="3">
        <v>0</v>
      </c>
      <c r="AR26" s="3">
        <v>0</v>
      </c>
      <c r="AS26" s="3">
        <v>1</v>
      </c>
      <c r="AT26" s="3">
        <v>0</v>
      </c>
      <c r="AU26" s="3">
        <v>0</v>
      </c>
      <c r="AV26" s="3">
        <v>0</v>
      </c>
      <c r="AW26" s="3">
        <v>1</v>
      </c>
      <c r="AX26" s="3">
        <v>1</v>
      </c>
      <c r="AY26" s="3">
        <v>1</v>
      </c>
      <c r="AZ26" s="6"/>
      <c r="BA26" s="6"/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6"/>
      <c r="BK26" s="6"/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11"/>
      <c r="BT26" s="11"/>
      <c r="BU26" s="6"/>
      <c r="BV26" s="6"/>
      <c r="BW26" s="6"/>
      <c r="BX26" s="6"/>
      <c r="BY26" s="6"/>
      <c r="BZ26" s="6"/>
      <c r="CA26" s="6"/>
      <c r="CB26" s="6"/>
    </row>
    <row r="27" spans="1:80" x14ac:dyDescent="0.25">
      <c r="A27" t="s">
        <v>90</v>
      </c>
      <c r="B27" s="3" t="s">
        <v>84</v>
      </c>
      <c r="C27" s="5">
        <v>-3352762</v>
      </c>
      <c r="D27" s="5">
        <v>-7062166</v>
      </c>
      <c r="E27" s="6" t="s">
        <v>116</v>
      </c>
      <c r="F27" s="6">
        <v>-33531952</v>
      </c>
      <c r="G27" s="6">
        <v>-70623209</v>
      </c>
      <c r="H27" s="6" t="s">
        <v>108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12"/>
      <c r="AI27" s="12"/>
      <c r="AJ27" s="12"/>
      <c r="AK27" s="6"/>
      <c r="AL27" s="6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6"/>
      <c r="BA27" s="6"/>
      <c r="BB27" s="3"/>
      <c r="BC27" s="3"/>
      <c r="BD27" s="3"/>
      <c r="BE27" s="3"/>
      <c r="BF27" s="3"/>
      <c r="BG27" s="3"/>
      <c r="BH27" s="3"/>
      <c r="BI27" s="3"/>
      <c r="BJ27" s="6"/>
      <c r="BK27" s="6"/>
      <c r="BL27" s="3"/>
      <c r="BM27" s="3"/>
      <c r="BN27" s="3"/>
      <c r="BO27" s="3"/>
      <c r="BP27" s="3"/>
      <c r="BQ27" s="3"/>
      <c r="BR27" s="3"/>
      <c r="BS27" s="11"/>
      <c r="BT27" s="11"/>
      <c r="BU27" s="6"/>
      <c r="BV27" s="6"/>
      <c r="BW27" s="6"/>
      <c r="BX27" s="6"/>
      <c r="BY27" s="6"/>
      <c r="BZ27" s="6"/>
      <c r="CA27" s="6"/>
      <c r="CB27" s="6"/>
    </row>
    <row r="28" spans="1:80" x14ac:dyDescent="0.25">
      <c r="A28" t="s">
        <v>90</v>
      </c>
      <c r="B28" s="3" t="s">
        <v>84</v>
      </c>
      <c r="C28" s="5">
        <v>-3352762</v>
      </c>
      <c r="D28" s="5">
        <v>-7062166</v>
      </c>
      <c r="E28" s="6" t="s">
        <v>117</v>
      </c>
      <c r="F28" s="6">
        <v>-33531861</v>
      </c>
      <c r="G28" s="6">
        <v>-70622855</v>
      </c>
      <c r="H28" s="6" t="s">
        <v>118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1</v>
      </c>
      <c r="P28" s="6">
        <v>1</v>
      </c>
      <c r="Q28" s="6">
        <v>1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12">
        <v>0</v>
      </c>
      <c r="AI28" s="12">
        <v>0</v>
      </c>
      <c r="AJ28" s="12">
        <v>0</v>
      </c>
      <c r="AK28" s="6"/>
      <c r="AL28" s="6"/>
      <c r="AM28" s="3">
        <v>0</v>
      </c>
      <c r="AN28" s="3">
        <v>1</v>
      </c>
      <c r="AO28" s="3">
        <v>0</v>
      </c>
      <c r="AP28" s="3">
        <v>1</v>
      </c>
      <c r="AQ28" s="3">
        <v>0</v>
      </c>
      <c r="AR28" s="3">
        <v>1</v>
      </c>
      <c r="AS28" s="3">
        <v>0</v>
      </c>
      <c r="AT28" s="3">
        <v>1</v>
      </c>
      <c r="AU28" s="3">
        <v>0</v>
      </c>
      <c r="AV28" s="3">
        <v>0</v>
      </c>
      <c r="AW28" s="3">
        <v>1</v>
      </c>
      <c r="AX28" s="3">
        <v>1</v>
      </c>
      <c r="AY28" s="3">
        <v>1</v>
      </c>
      <c r="AZ28" s="6"/>
      <c r="BA28" s="6"/>
      <c r="BB28" s="3">
        <v>0</v>
      </c>
      <c r="BC28" s="3">
        <v>0</v>
      </c>
      <c r="BD28" s="3">
        <v>1</v>
      </c>
      <c r="BE28" s="3">
        <v>0</v>
      </c>
      <c r="BF28" s="3">
        <v>0</v>
      </c>
      <c r="BG28" s="3">
        <v>0</v>
      </c>
      <c r="BH28" s="3">
        <v>0</v>
      </c>
      <c r="BI28" s="3">
        <v>1</v>
      </c>
      <c r="BJ28" s="6"/>
      <c r="BK28" s="6"/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11"/>
      <c r="BT28" s="11"/>
      <c r="BU28" s="6"/>
      <c r="BV28" s="6"/>
      <c r="BW28" s="6"/>
      <c r="BX28" s="6"/>
      <c r="BY28" s="6"/>
      <c r="BZ28" s="6"/>
      <c r="CA28" s="6"/>
      <c r="CB28" s="6"/>
    </row>
    <row r="29" spans="1:80" x14ac:dyDescent="0.25">
      <c r="A29" t="s">
        <v>90</v>
      </c>
      <c r="B29" s="3" t="s">
        <v>85</v>
      </c>
      <c r="C29" s="5">
        <v>-3352980</v>
      </c>
      <c r="D29" s="5">
        <v>-7062310</v>
      </c>
      <c r="E29" s="6" t="s">
        <v>119</v>
      </c>
      <c r="F29" s="10">
        <v>-33529613</v>
      </c>
      <c r="G29" s="6">
        <v>-70621632</v>
      </c>
      <c r="H29" s="6" t="s">
        <v>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1"/>
      <c r="BT29" s="11"/>
      <c r="BU29" s="6"/>
      <c r="BV29" s="6"/>
      <c r="BW29" s="6"/>
      <c r="BX29" s="6"/>
      <c r="BY29" s="6"/>
      <c r="BZ29" s="6"/>
      <c r="CA29" s="6"/>
      <c r="CB29" s="6"/>
    </row>
    <row r="30" spans="1:80" x14ac:dyDescent="0.25">
      <c r="A30" t="s">
        <v>90</v>
      </c>
      <c r="B30" s="3" t="s">
        <v>85</v>
      </c>
      <c r="C30" s="5">
        <v>-3352980</v>
      </c>
      <c r="D30" s="5">
        <v>-7062310</v>
      </c>
      <c r="E30" s="6" t="s">
        <v>120</v>
      </c>
      <c r="F30" s="10">
        <v>-33529527</v>
      </c>
      <c r="G30" s="10">
        <v>-70622900</v>
      </c>
      <c r="H30" s="6" t="s">
        <v>94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1</v>
      </c>
      <c r="Z30" s="6">
        <v>0</v>
      </c>
      <c r="AA30" s="6">
        <v>0</v>
      </c>
      <c r="AB30" s="6">
        <v>0</v>
      </c>
      <c r="AC30" s="6">
        <v>1</v>
      </c>
      <c r="AD30" s="6">
        <v>1</v>
      </c>
      <c r="AE30" s="6">
        <v>0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/>
      <c r="AL30" s="6"/>
      <c r="AM30" s="6">
        <v>1</v>
      </c>
      <c r="AN30" s="6">
        <v>1</v>
      </c>
      <c r="AO30" s="6">
        <v>1</v>
      </c>
      <c r="AP30" s="6">
        <v>1</v>
      </c>
      <c r="AQ30" s="6">
        <v>0</v>
      </c>
      <c r="AR30" s="6">
        <v>0</v>
      </c>
      <c r="AS30" s="6">
        <v>0</v>
      </c>
      <c r="AT30" s="6">
        <v>1</v>
      </c>
      <c r="AU30" s="6">
        <v>1</v>
      </c>
      <c r="AV30" s="6">
        <v>0</v>
      </c>
      <c r="AW30" s="6">
        <v>1</v>
      </c>
      <c r="AX30" s="6">
        <v>1</v>
      </c>
      <c r="AY30" s="6">
        <v>1</v>
      </c>
      <c r="AZ30" s="6"/>
      <c r="BA30" s="6"/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/>
      <c r="BK30" s="6"/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11"/>
      <c r="BT30" s="11"/>
      <c r="BU30" s="6"/>
      <c r="BV30" s="6"/>
      <c r="BW30" s="6"/>
      <c r="BX30" s="6"/>
      <c r="BY30" s="6"/>
      <c r="BZ30" s="6"/>
      <c r="CA30" s="6"/>
      <c r="CB30" s="6"/>
    </row>
    <row r="31" spans="1:80" x14ac:dyDescent="0.25">
      <c r="A31" t="s">
        <v>90</v>
      </c>
      <c r="B31" s="3" t="s">
        <v>85</v>
      </c>
      <c r="C31" s="5">
        <v>-3352980</v>
      </c>
      <c r="D31" s="5">
        <v>-7062310</v>
      </c>
      <c r="E31" s="6" t="s">
        <v>121</v>
      </c>
      <c r="F31" s="5">
        <v>-33529891</v>
      </c>
      <c r="G31" s="5">
        <v>-70627361</v>
      </c>
      <c r="H31" s="6" t="s">
        <v>96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1"/>
      <c r="BT31" s="11"/>
      <c r="BU31" s="6"/>
      <c r="BV31" s="6"/>
      <c r="BW31" s="6"/>
      <c r="BX31" s="6"/>
      <c r="BY31" s="6"/>
      <c r="BZ31" s="6"/>
      <c r="CA31" s="6"/>
      <c r="CB31" s="6"/>
    </row>
    <row r="32" spans="1:80" x14ac:dyDescent="0.25">
      <c r="A32" t="s">
        <v>90</v>
      </c>
      <c r="B32" s="3" t="s">
        <v>85</v>
      </c>
      <c r="C32" s="5">
        <v>-3352980</v>
      </c>
      <c r="D32" s="5">
        <v>-7062310</v>
      </c>
      <c r="E32" s="6" t="s">
        <v>122</v>
      </c>
      <c r="F32" s="6">
        <v>-33529471</v>
      </c>
      <c r="G32" s="6">
        <v>-70627815</v>
      </c>
      <c r="H32" s="6" t="s">
        <v>94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3"/>
      <c r="AI32" s="3"/>
      <c r="AJ32" s="3"/>
      <c r="AK32" s="6"/>
      <c r="AL32" s="6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6"/>
      <c r="BA32" s="6"/>
      <c r="BB32" s="3"/>
      <c r="BC32" s="3"/>
      <c r="BD32" s="3"/>
      <c r="BE32" s="3"/>
      <c r="BF32" s="3"/>
      <c r="BG32" s="3"/>
      <c r="BH32" s="3"/>
      <c r="BI32" s="3"/>
      <c r="BJ32" s="6"/>
      <c r="BK32" s="6"/>
      <c r="BL32" s="3"/>
      <c r="BM32" s="3"/>
      <c r="BN32" s="3"/>
      <c r="BO32" s="3"/>
      <c r="BP32" s="3"/>
      <c r="BQ32" s="3"/>
      <c r="BR32" s="3"/>
      <c r="BS32" s="11"/>
      <c r="BT32" s="11"/>
      <c r="BU32" s="6"/>
      <c r="BV32" s="6"/>
      <c r="BW32" s="6"/>
      <c r="BX32" s="6"/>
      <c r="BY32" s="6"/>
      <c r="BZ32" s="6"/>
      <c r="CA32" s="6"/>
      <c r="CB32" s="6"/>
    </row>
    <row r="33" spans="1:80" x14ac:dyDescent="0.25">
      <c r="A33" t="s">
        <v>90</v>
      </c>
      <c r="B33" s="3" t="s">
        <v>85</v>
      </c>
      <c r="C33" s="5">
        <v>-3352980</v>
      </c>
      <c r="D33" s="5">
        <v>-7062310</v>
      </c>
      <c r="E33" s="6" t="s">
        <v>123</v>
      </c>
      <c r="F33" s="9">
        <v>-33532286</v>
      </c>
      <c r="G33" s="6">
        <v>-70627450</v>
      </c>
      <c r="H33" s="6" t="s">
        <v>124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2"/>
      <c r="AI33" s="12"/>
      <c r="AJ33" s="12"/>
      <c r="AK33" s="6"/>
      <c r="AL33" s="6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6"/>
      <c r="BA33" s="6"/>
      <c r="BB33" s="3"/>
      <c r="BC33" s="3"/>
      <c r="BD33" s="3"/>
      <c r="BE33" s="3"/>
      <c r="BF33" s="3"/>
      <c r="BG33" s="3"/>
      <c r="BH33" s="3"/>
      <c r="BI33" s="3"/>
      <c r="BJ33" s="6"/>
      <c r="BK33" s="6"/>
      <c r="BL33" s="3"/>
      <c r="BM33" s="3"/>
      <c r="BN33" s="3"/>
      <c r="BO33" s="3"/>
      <c r="BP33" s="3"/>
      <c r="BQ33" s="3"/>
      <c r="BR33" s="3"/>
      <c r="BS33" s="11"/>
      <c r="BT33" s="11"/>
      <c r="BU33" s="6"/>
      <c r="BV33" s="6"/>
      <c r="BW33" s="6"/>
      <c r="BX33" s="6"/>
      <c r="BY33" s="6"/>
      <c r="BZ33" s="6"/>
      <c r="CA33" s="6"/>
      <c r="CB33" s="6"/>
    </row>
    <row r="34" spans="1:80" x14ac:dyDescent="0.25">
      <c r="A34" t="s">
        <v>90</v>
      </c>
      <c r="B34" s="3" t="s">
        <v>85</v>
      </c>
      <c r="C34" s="5">
        <v>-3352980</v>
      </c>
      <c r="D34" s="5">
        <v>-7062310</v>
      </c>
      <c r="E34" s="6" t="s">
        <v>125</v>
      </c>
      <c r="F34" s="9">
        <v>-3353225</v>
      </c>
      <c r="G34" s="6">
        <v>-7062738</v>
      </c>
      <c r="H34" s="6" t="s">
        <v>126</v>
      </c>
      <c r="I34" s="6">
        <v>0</v>
      </c>
      <c r="J34" s="6">
        <v>0</v>
      </c>
      <c r="K34" s="6">
        <v>0</v>
      </c>
      <c r="L34" s="6">
        <v>1</v>
      </c>
      <c r="M34" s="6">
        <v>1</v>
      </c>
      <c r="N34" s="6">
        <v>1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1</v>
      </c>
      <c r="Y34" s="6">
        <v>1</v>
      </c>
      <c r="Z34" s="6">
        <v>1</v>
      </c>
      <c r="AA34" s="6">
        <v>1</v>
      </c>
      <c r="AB34" s="6">
        <v>0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12">
        <v>1</v>
      </c>
      <c r="AI34" s="12">
        <v>1</v>
      </c>
      <c r="AJ34" s="12">
        <v>1</v>
      </c>
      <c r="AK34" s="6"/>
      <c r="AL34" s="6"/>
      <c r="AM34" s="3">
        <v>1</v>
      </c>
      <c r="AN34" s="3">
        <v>1</v>
      </c>
      <c r="AO34" s="3">
        <v>0</v>
      </c>
      <c r="AP34" s="3">
        <v>1</v>
      </c>
      <c r="AQ34" s="3">
        <v>1</v>
      </c>
      <c r="AR34" s="3">
        <v>1</v>
      </c>
      <c r="AS34" s="3">
        <v>0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6"/>
      <c r="BA34" s="6"/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6"/>
      <c r="BK34" s="6"/>
      <c r="BL34" s="3">
        <v>0</v>
      </c>
      <c r="BM34" s="3">
        <v>0</v>
      </c>
      <c r="BN34" s="3">
        <v>0</v>
      </c>
      <c r="BO34" s="3">
        <v>1</v>
      </c>
      <c r="BP34" s="3">
        <v>1</v>
      </c>
      <c r="BQ34" s="3">
        <v>1</v>
      </c>
      <c r="BR34" s="3">
        <v>1</v>
      </c>
      <c r="BS34" s="11"/>
      <c r="BT34" s="11"/>
      <c r="BU34" s="6"/>
      <c r="BV34" s="6"/>
      <c r="BW34" s="6"/>
      <c r="BX34" s="6"/>
      <c r="BY34" s="6"/>
      <c r="BZ34" s="6"/>
      <c r="CA34" s="6"/>
      <c r="CB34" s="6"/>
    </row>
    <row r="35" spans="1:80" x14ac:dyDescent="0.25">
      <c r="A35" t="s">
        <v>90</v>
      </c>
      <c r="B35" s="3" t="s">
        <v>85</v>
      </c>
      <c r="C35" s="5">
        <v>-3352980</v>
      </c>
      <c r="D35" s="5">
        <v>-7062310</v>
      </c>
      <c r="E35" s="6" t="s">
        <v>127</v>
      </c>
      <c r="F35" s="6">
        <v>-33532928</v>
      </c>
      <c r="G35" s="6">
        <v>-70625743</v>
      </c>
      <c r="H35" s="6" t="s">
        <v>92</v>
      </c>
      <c r="I35" s="6">
        <v>1</v>
      </c>
      <c r="J35" s="6">
        <v>0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0</v>
      </c>
      <c r="T35" s="6">
        <v>1</v>
      </c>
      <c r="U35" s="6">
        <v>0</v>
      </c>
      <c r="V35" s="6">
        <v>0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0</v>
      </c>
      <c r="AC35" s="6">
        <v>1</v>
      </c>
      <c r="AD35" s="6">
        <v>1</v>
      </c>
      <c r="AE35" s="6">
        <v>0</v>
      </c>
      <c r="AF35" s="6">
        <v>1</v>
      </c>
      <c r="AG35" s="6">
        <v>1</v>
      </c>
      <c r="AH35" s="12">
        <v>1</v>
      </c>
      <c r="AI35" s="12">
        <v>1</v>
      </c>
      <c r="AJ35" s="12">
        <v>1</v>
      </c>
      <c r="AK35" s="6"/>
      <c r="AL35" s="6"/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0</v>
      </c>
      <c r="AU35" s="3">
        <v>0</v>
      </c>
      <c r="AV35" s="3">
        <v>0</v>
      </c>
      <c r="AW35" s="3">
        <v>1</v>
      </c>
      <c r="AX35" s="3">
        <v>1</v>
      </c>
      <c r="AY35" s="3">
        <v>1</v>
      </c>
      <c r="AZ35" s="6"/>
      <c r="BA35" s="6"/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0</v>
      </c>
      <c r="BH35" s="3">
        <v>0</v>
      </c>
      <c r="BI35" s="3">
        <v>1</v>
      </c>
      <c r="BJ35" s="6"/>
      <c r="BK35" s="6"/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11"/>
      <c r="BT35" s="11"/>
      <c r="BU35" s="6"/>
      <c r="BV35" s="6"/>
      <c r="BW35" s="6"/>
      <c r="BX35" s="6"/>
      <c r="BY35" s="6"/>
      <c r="BZ35" s="6"/>
      <c r="CA35" s="6"/>
      <c r="CB35" s="6"/>
    </row>
    <row r="36" spans="1:80" x14ac:dyDescent="0.25">
      <c r="A36" t="s">
        <v>90</v>
      </c>
      <c r="B36" s="3" t="s">
        <v>85</v>
      </c>
      <c r="C36" s="5">
        <v>-3352980</v>
      </c>
      <c r="D36" s="5">
        <v>-7062310</v>
      </c>
      <c r="E36" s="6" t="s">
        <v>128</v>
      </c>
      <c r="F36" s="6">
        <v>-33532795</v>
      </c>
      <c r="G36" s="6">
        <v>-70619959</v>
      </c>
      <c r="H36" s="6" t="s">
        <v>92</v>
      </c>
      <c r="I36" s="6">
        <v>0</v>
      </c>
      <c r="J36" s="6">
        <v>0</v>
      </c>
      <c r="K36" s="6">
        <v>0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0</v>
      </c>
      <c r="V36" s="6">
        <v>0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0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/>
      <c r="AL36" s="6"/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0</v>
      </c>
      <c r="AV36" s="6">
        <v>0</v>
      </c>
      <c r="AW36" s="6">
        <v>1</v>
      </c>
      <c r="AX36" s="6">
        <v>1</v>
      </c>
      <c r="AY36" s="6">
        <v>1</v>
      </c>
      <c r="AZ36" s="6"/>
      <c r="BA36" s="6"/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0</v>
      </c>
      <c r="BH36" s="6">
        <v>1</v>
      </c>
      <c r="BI36" s="6">
        <v>1</v>
      </c>
      <c r="BJ36" s="6"/>
      <c r="BK36" s="6"/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11"/>
      <c r="BT36" s="11"/>
      <c r="BU36" s="6"/>
      <c r="BV36" s="6"/>
      <c r="BW36" s="6"/>
      <c r="BX36" s="6"/>
      <c r="BY36" s="6"/>
      <c r="BZ36" s="6"/>
      <c r="CA36" s="6"/>
      <c r="CB36" s="6"/>
    </row>
    <row r="37" spans="1:80" x14ac:dyDescent="0.25">
      <c r="A37" t="s">
        <v>90</v>
      </c>
      <c r="B37" s="3" t="s">
        <v>85</v>
      </c>
      <c r="C37" s="5">
        <v>-3352980</v>
      </c>
      <c r="D37" s="5">
        <v>-7062310</v>
      </c>
      <c r="E37" s="6" t="s">
        <v>129</v>
      </c>
      <c r="F37" s="6">
        <v>-33531808</v>
      </c>
      <c r="G37" s="6">
        <v>-70620485</v>
      </c>
      <c r="H37" s="6" t="s">
        <v>92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1"/>
      <c r="BT37" s="11"/>
      <c r="BU37" s="6"/>
      <c r="BV37" s="6"/>
      <c r="BW37" s="6"/>
      <c r="BX37" s="6"/>
      <c r="BY37" s="6"/>
      <c r="BZ37" s="6"/>
      <c r="CA37" s="6"/>
      <c r="CB37" s="6"/>
    </row>
    <row r="38" spans="1:80" x14ac:dyDescent="0.25">
      <c r="A38" t="s">
        <v>90</v>
      </c>
      <c r="B38" s="3" t="s">
        <v>85</v>
      </c>
      <c r="C38" s="5">
        <v>-3352980</v>
      </c>
      <c r="D38" s="5">
        <v>-7062310</v>
      </c>
      <c r="E38" s="6" t="s">
        <v>130</v>
      </c>
      <c r="F38" s="6">
        <v>-33533494</v>
      </c>
      <c r="G38" s="6">
        <v>-70619903</v>
      </c>
      <c r="H38" s="6" t="s">
        <v>94</v>
      </c>
      <c r="I38" s="6">
        <v>0</v>
      </c>
      <c r="J38" s="6">
        <v>0</v>
      </c>
      <c r="K38" s="6">
        <v>1</v>
      </c>
      <c r="L38" s="6">
        <v>1</v>
      </c>
      <c r="M38" s="6">
        <v>0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0</v>
      </c>
      <c r="V38" s="6">
        <v>0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12">
        <v>1</v>
      </c>
      <c r="AI38" s="12">
        <v>1</v>
      </c>
      <c r="AJ38" s="12">
        <v>1</v>
      </c>
      <c r="AK38" s="6"/>
      <c r="AL38" s="6"/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0</v>
      </c>
      <c r="AS38" s="6">
        <v>1</v>
      </c>
      <c r="AT38" s="6">
        <v>0</v>
      </c>
      <c r="AU38" s="6">
        <v>0</v>
      </c>
      <c r="AV38" s="6">
        <v>0</v>
      </c>
      <c r="AW38" s="6">
        <v>1</v>
      </c>
      <c r="AX38" s="6">
        <v>1</v>
      </c>
      <c r="AY38" s="6">
        <v>1</v>
      </c>
      <c r="AZ38" s="6"/>
      <c r="BA38" s="6"/>
      <c r="BB38" s="6">
        <v>0</v>
      </c>
      <c r="BC38" s="6">
        <v>0</v>
      </c>
      <c r="BD38" s="6">
        <v>1</v>
      </c>
      <c r="BE38" s="6">
        <v>1</v>
      </c>
      <c r="BF38" s="6">
        <v>1</v>
      </c>
      <c r="BG38" s="6">
        <v>0</v>
      </c>
      <c r="BH38" s="6">
        <v>1</v>
      </c>
      <c r="BI38" s="6">
        <v>1</v>
      </c>
      <c r="BJ38" s="6"/>
      <c r="BK38" s="6"/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11"/>
      <c r="BT38" s="11"/>
      <c r="BU38" s="6"/>
      <c r="BV38" s="6"/>
      <c r="BW38" s="6"/>
      <c r="BX38" s="6"/>
      <c r="BY38" s="6"/>
      <c r="BZ38" s="6"/>
      <c r="CA38" s="6"/>
      <c r="CB38" s="6"/>
    </row>
    <row r="39" spans="1:80" x14ac:dyDescent="0.25">
      <c r="A39" t="s">
        <v>90</v>
      </c>
      <c r="B39" s="3" t="s">
        <v>85</v>
      </c>
      <c r="C39" s="5">
        <v>-3352980</v>
      </c>
      <c r="D39" s="5">
        <v>-7062310</v>
      </c>
      <c r="E39" s="6" t="s">
        <v>131</v>
      </c>
      <c r="F39" s="6">
        <v>-33533715</v>
      </c>
      <c r="G39" s="9">
        <v>-70622044</v>
      </c>
      <c r="H39" s="9" t="s">
        <v>132</v>
      </c>
      <c r="I39" s="6">
        <v>1</v>
      </c>
      <c r="J39" s="6">
        <v>0</v>
      </c>
      <c r="K39" s="6">
        <v>0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0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0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/>
      <c r="AL39" s="6"/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0</v>
      </c>
      <c r="AU39" s="6">
        <v>0</v>
      </c>
      <c r="AV39" s="6">
        <v>0</v>
      </c>
      <c r="AW39" s="6">
        <v>1</v>
      </c>
      <c r="AX39" s="6">
        <v>1</v>
      </c>
      <c r="AY39" s="6">
        <v>1</v>
      </c>
      <c r="AZ39" s="6"/>
      <c r="BA39" s="6"/>
      <c r="BB39" s="6">
        <v>0</v>
      </c>
      <c r="BC39" s="6">
        <v>0</v>
      </c>
      <c r="BD39" s="6">
        <v>1</v>
      </c>
      <c r="BE39" s="6">
        <v>1</v>
      </c>
      <c r="BF39" s="6">
        <v>1</v>
      </c>
      <c r="BG39" s="6">
        <v>0</v>
      </c>
      <c r="BH39" s="6">
        <v>1</v>
      </c>
      <c r="BI39" s="6">
        <v>1</v>
      </c>
      <c r="BJ39" s="6"/>
      <c r="BK39" s="6"/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11"/>
      <c r="BT39" s="11"/>
      <c r="BU39" s="6"/>
      <c r="BV39" s="6"/>
      <c r="BW39" s="6"/>
      <c r="BX39" s="6"/>
      <c r="BY39" s="6"/>
      <c r="BZ39" s="6"/>
      <c r="CA39" s="6"/>
      <c r="CB39" s="6"/>
    </row>
    <row r="40" spans="1:80" x14ac:dyDescent="0.25">
      <c r="A40" t="s">
        <v>90</v>
      </c>
      <c r="B40" s="3" t="s">
        <v>85</v>
      </c>
      <c r="C40" s="5">
        <v>-3352980</v>
      </c>
      <c r="D40" s="5">
        <v>-7062310</v>
      </c>
      <c r="E40" s="6" t="s">
        <v>133</v>
      </c>
      <c r="F40" s="6">
        <v>-33533515</v>
      </c>
      <c r="G40" s="6">
        <v>-70622400</v>
      </c>
      <c r="H40" s="6" t="s">
        <v>96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12"/>
      <c r="AI40" s="12"/>
      <c r="AJ40" s="12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1"/>
      <c r="BT40" s="11"/>
      <c r="BU40" s="6"/>
      <c r="BV40" s="6"/>
      <c r="BW40" s="6"/>
      <c r="BX40" s="6"/>
      <c r="BY40" s="6"/>
      <c r="BZ40" s="6"/>
      <c r="CA40" s="6"/>
      <c r="CB40" s="6"/>
    </row>
    <row r="41" spans="1:80" x14ac:dyDescent="0.25">
      <c r="A41" t="s">
        <v>90</v>
      </c>
      <c r="B41" s="3" t="s">
        <v>85</v>
      </c>
      <c r="C41" s="5">
        <v>-3352980</v>
      </c>
      <c r="D41" s="5">
        <v>-7062310</v>
      </c>
      <c r="E41" s="6" t="s">
        <v>134</v>
      </c>
      <c r="F41" s="6">
        <v>-33534030</v>
      </c>
      <c r="G41" s="6">
        <v>-70625039</v>
      </c>
      <c r="H41" s="6" t="s">
        <v>94</v>
      </c>
      <c r="I41" s="6">
        <v>0</v>
      </c>
      <c r="J41" s="6">
        <v>0</v>
      </c>
      <c r="K41" s="6">
        <v>1</v>
      </c>
      <c r="L41" s="6">
        <v>1</v>
      </c>
      <c r="M41" s="6">
        <v>0</v>
      </c>
      <c r="N41" s="6">
        <v>1</v>
      </c>
      <c r="O41" s="6">
        <v>1</v>
      </c>
      <c r="P41" s="6">
        <v>0</v>
      </c>
      <c r="Q41" s="6">
        <v>0</v>
      </c>
      <c r="R41" s="6">
        <v>1</v>
      </c>
      <c r="S41" s="6">
        <v>1</v>
      </c>
      <c r="T41" s="6">
        <v>0</v>
      </c>
      <c r="U41" s="6">
        <v>0</v>
      </c>
      <c r="V41" s="6">
        <v>0</v>
      </c>
      <c r="W41" s="6">
        <v>1</v>
      </c>
      <c r="X41" s="6">
        <v>1</v>
      </c>
      <c r="Y41" s="6">
        <v>1</v>
      </c>
      <c r="Z41" s="6">
        <v>0</v>
      </c>
      <c r="AA41" s="6">
        <v>1</v>
      </c>
      <c r="AB41" s="6">
        <v>0</v>
      </c>
      <c r="AC41" s="6">
        <v>0</v>
      </c>
      <c r="AD41" s="6">
        <v>0</v>
      </c>
      <c r="AE41" s="6">
        <v>0</v>
      </c>
      <c r="AF41" s="6">
        <v>1</v>
      </c>
      <c r="AG41" s="6">
        <v>0</v>
      </c>
      <c r="AH41" s="3">
        <v>1</v>
      </c>
      <c r="AI41" s="3">
        <v>1</v>
      </c>
      <c r="AJ41" s="3">
        <v>1</v>
      </c>
      <c r="AK41" s="6"/>
      <c r="AL41" s="6"/>
      <c r="AM41" s="3">
        <v>0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0</v>
      </c>
      <c r="AV41" s="3">
        <v>0</v>
      </c>
      <c r="AW41" s="3">
        <v>1</v>
      </c>
      <c r="AX41" s="3">
        <v>1</v>
      </c>
      <c r="AY41" s="3">
        <v>1</v>
      </c>
      <c r="AZ41" s="6"/>
      <c r="BA41" s="6"/>
      <c r="BB41" s="3">
        <v>0</v>
      </c>
      <c r="BC41" s="3">
        <v>0</v>
      </c>
      <c r="BD41" s="3">
        <v>1</v>
      </c>
      <c r="BE41" s="3">
        <v>0</v>
      </c>
      <c r="BF41" s="3">
        <v>0</v>
      </c>
      <c r="BG41" s="3">
        <v>0</v>
      </c>
      <c r="BH41" s="3">
        <v>0</v>
      </c>
      <c r="BI41" s="3">
        <v>1</v>
      </c>
      <c r="BJ41" s="6"/>
      <c r="BK41" s="6"/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11"/>
      <c r="BT41" s="11"/>
      <c r="BU41" s="6"/>
      <c r="BV41" s="6"/>
      <c r="BW41" s="6"/>
      <c r="BX41" s="6"/>
      <c r="BY41" s="6"/>
      <c r="BZ41" s="6"/>
      <c r="CA41" s="6"/>
      <c r="CB41" s="6"/>
    </row>
    <row r="42" spans="1:80" x14ac:dyDescent="0.25">
      <c r="A42" t="s">
        <v>90</v>
      </c>
      <c r="B42" s="3" t="s">
        <v>85</v>
      </c>
      <c r="C42" s="5">
        <v>-3352980</v>
      </c>
      <c r="D42" s="5">
        <v>-7062310</v>
      </c>
      <c r="E42" s="6" t="s">
        <v>135</v>
      </c>
      <c r="F42" s="6">
        <v>-33529066</v>
      </c>
      <c r="G42" s="6">
        <v>-70626725</v>
      </c>
      <c r="H42" s="6" t="s">
        <v>94</v>
      </c>
      <c r="I42" s="6">
        <v>0</v>
      </c>
      <c r="J42" s="6">
        <v>0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0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0</v>
      </c>
      <c r="AC42" s="6">
        <v>1</v>
      </c>
      <c r="AD42" s="6">
        <v>1</v>
      </c>
      <c r="AE42" s="6">
        <v>0</v>
      </c>
      <c r="AF42" s="6">
        <v>1</v>
      </c>
      <c r="AG42" s="6">
        <v>1</v>
      </c>
      <c r="AH42" s="12">
        <v>1</v>
      </c>
      <c r="AI42" s="12">
        <v>1</v>
      </c>
      <c r="AJ42" s="12">
        <v>1</v>
      </c>
      <c r="AK42" s="6"/>
      <c r="AL42" s="6"/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6"/>
      <c r="BA42" s="6"/>
      <c r="BB42" s="3">
        <v>0</v>
      </c>
      <c r="BC42" s="3">
        <v>0</v>
      </c>
      <c r="BD42" s="3">
        <v>1</v>
      </c>
      <c r="BE42" s="3">
        <v>1</v>
      </c>
      <c r="BF42" s="3">
        <v>1</v>
      </c>
      <c r="BG42" s="3">
        <v>0</v>
      </c>
      <c r="BH42" s="3">
        <v>1</v>
      </c>
      <c r="BI42" s="3">
        <v>1</v>
      </c>
      <c r="BJ42" s="6"/>
      <c r="BK42" s="6"/>
      <c r="BL42" s="3">
        <v>0</v>
      </c>
      <c r="BM42" s="3">
        <v>0</v>
      </c>
      <c r="BN42" s="3">
        <v>0</v>
      </c>
      <c r="BO42" s="3">
        <v>1</v>
      </c>
      <c r="BP42" s="3">
        <v>1</v>
      </c>
      <c r="BQ42" s="3">
        <v>1</v>
      </c>
      <c r="BR42" s="3">
        <v>0</v>
      </c>
      <c r="BS42" s="11"/>
      <c r="BT42" s="11"/>
      <c r="BU42" s="6"/>
      <c r="BV42" s="6"/>
      <c r="BW42" s="6"/>
      <c r="BX42" s="6"/>
      <c r="BY42" s="6"/>
      <c r="BZ42" s="6"/>
      <c r="CA42" s="6"/>
      <c r="CB42" s="6"/>
    </row>
    <row r="43" spans="1:80" x14ac:dyDescent="0.25">
      <c r="A43" t="s">
        <v>90</v>
      </c>
      <c r="B43" s="3" t="s">
        <v>85</v>
      </c>
      <c r="C43" s="5">
        <v>-3352980</v>
      </c>
      <c r="D43" s="5">
        <v>-7062310</v>
      </c>
      <c r="E43" s="6" t="s">
        <v>136</v>
      </c>
      <c r="F43" s="6">
        <v>-33527060</v>
      </c>
      <c r="G43" s="6">
        <v>-70621060</v>
      </c>
      <c r="H43" s="6" t="s">
        <v>94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11"/>
      <c r="BT43" s="11"/>
      <c r="BU43" s="6"/>
      <c r="BV43" s="6"/>
      <c r="BW43" s="6"/>
      <c r="BX43" s="6"/>
      <c r="BY43" s="6"/>
      <c r="BZ43" s="6"/>
      <c r="CA43" s="6"/>
      <c r="CB43" s="6"/>
    </row>
    <row r="44" spans="1:80" x14ac:dyDescent="0.25">
      <c r="A44" t="s">
        <v>90</v>
      </c>
      <c r="B44" s="3" t="s">
        <v>85</v>
      </c>
      <c r="C44" s="5">
        <v>-3352980</v>
      </c>
      <c r="D44" s="5">
        <v>-7062310</v>
      </c>
      <c r="E44" s="6" t="s">
        <v>137</v>
      </c>
      <c r="F44" s="6">
        <v>-33527025</v>
      </c>
      <c r="G44" s="9">
        <v>-70619381</v>
      </c>
      <c r="H44" s="9" t="s">
        <v>92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0</v>
      </c>
      <c r="U44" s="6">
        <v>0</v>
      </c>
      <c r="V44" s="6">
        <v>0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0</v>
      </c>
      <c r="AC44" s="6">
        <v>1</v>
      </c>
      <c r="AD44" s="6">
        <v>1</v>
      </c>
      <c r="AE44" s="6">
        <v>0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/>
      <c r="AL44" s="6"/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0</v>
      </c>
      <c r="AS44" s="6">
        <v>1</v>
      </c>
      <c r="AT44" s="6">
        <v>0</v>
      </c>
      <c r="AU44" s="6">
        <v>0</v>
      </c>
      <c r="AV44" s="6">
        <v>0</v>
      </c>
      <c r="AW44" s="6">
        <v>1</v>
      </c>
      <c r="AX44" s="6">
        <v>1</v>
      </c>
      <c r="AY44" s="6">
        <v>1</v>
      </c>
      <c r="AZ44" s="6"/>
      <c r="BA44" s="6"/>
      <c r="BB44" s="6">
        <v>0</v>
      </c>
      <c r="BC44" s="6">
        <v>0</v>
      </c>
      <c r="BD44" s="6">
        <v>1</v>
      </c>
      <c r="BE44" s="6">
        <v>1</v>
      </c>
      <c r="BF44" s="6">
        <v>1</v>
      </c>
      <c r="BG44" s="6">
        <v>0</v>
      </c>
      <c r="BH44" s="6">
        <v>1</v>
      </c>
      <c r="BI44" s="6">
        <v>1</v>
      </c>
      <c r="BJ44" s="6"/>
      <c r="BK44" s="6"/>
      <c r="BL44" s="6">
        <v>0</v>
      </c>
      <c r="BM44" s="6">
        <v>0</v>
      </c>
      <c r="BN44" s="6">
        <v>0</v>
      </c>
      <c r="BO44" s="6">
        <v>1</v>
      </c>
      <c r="BP44" s="6">
        <v>0</v>
      </c>
      <c r="BQ44" s="6">
        <v>0</v>
      </c>
      <c r="BR44" s="6">
        <v>0</v>
      </c>
      <c r="BS44" s="11"/>
      <c r="BT44" s="11"/>
      <c r="BU44" s="6"/>
      <c r="BV44" s="6"/>
      <c r="BW44" s="6"/>
      <c r="BX44" s="6"/>
      <c r="BY44" s="6"/>
      <c r="BZ44" s="6"/>
      <c r="CA44" s="6"/>
      <c r="CB44" s="6"/>
    </row>
    <row r="45" spans="1:80" x14ac:dyDescent="0.25">
      <c r="A45" t="s">
        <v>90</v>
      </c>
      <c r="B45" s="3" t="s">
        <v>85</v>
      </c>
      <c r="C45" s="5">
        <v>-3352980</v>
      </c>
      <c r="D45" s="5">
        <v>-7062310</v>
      </c>
      <c r="E45" s="6" t="s">
        <v>138</v>
      </c>
      <c r="F45" s="6">
        <v>-33531742</v>
      </c>
      <c r="G45" s="9">
        <v>-70618229</v>
      </c>
      <c r="H45" s="9" t="s">
        <v>92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0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/>
      <c r="AL45" s="6"/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0</v>
      </c>
      <c r="AW45" s="6">
        <v>1</v>
      </c>
      <c r="AX45" s="6">
        <v>1</v>
      </c>
      <c r="AY45" s="6">
        <v>1</v>
      </c>
      <c r="AZ45" s="6"/>
      <c r="BA45" s="6"/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/>
      <c r="BK45" s="6"/>
      <c r="BL45" s="6">
        <v>0</v>
      </c>
      <c r="BM45" s="6">
        <v>0</v>
      </c>
      <c r="BN45" s="6">
        <v>0</v>
      </c>
      <c r="BO45" s="6">
        <v>1</v>
      </c>
      <c r="BP45" s="6">
        <v>0</v>
      </c>
      <c r="BQ45" s="6">
        <v>0</v>
      </c>
      <c r="BR45" s="6">
        <v>0</v>
      </c>
      <c r="BS45" s="11"/>
      <c r="BT45" s="11"/>
      <c r="BU45" s="6"/>
      <c r="BV45" s="6"/>
      <c r="BW45" s="6"/>
      <c r="BX45" s="6"/>
      <c r="BY45" s="6"/>
      <c r="BZ45" s="6"/>
      <c r="CA45" s="6"/>
      <c r="CB45" s="6"/>
    </row>
    <row r="46" spans="1:80" x14ac:dyDescent="0.25">
      <c r="A46" t="s">
        <v>90</v>
      </c>
      <c r="B46" s="3" t="s">
        <v>85</v>
      </c>
      <c r="C46" s="5">
        <v>-3352980</v>
      </c>
      <c r="D46" s="5">
        <v>-7062310</v>
      </c>
      <c r="E46" s="6" t="s">
        <v>139</v>
      </c>
      <c r="F46" s="6">
        <v>-33531755</v>
      </c>
      <c r="G46" s="6">
        <v>-70618595</v>
      </c>
      <c r="H46" s="6" t="s">
        <v>94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1"/>
      <c r="BT46" s="11"/>
      <c r="BU46" s="6"/>
      <c r="BV46" s="6"/>
      <c r="BW46" s="6"/>
      <c r="BX46" s="6"/>
      <c r="BY46" s="6"/>
      <c r="BZ46" s="6"/>
      <c r="CA46" s="6"/>
      <c r="CB46" s="6"/>
    </row>
    <row r="47" spans="1:80" x14ac:dyDescent="0.25">
      <c r="A47" t="s">
        <v>90</v>
      </c>
      <c r="B47" s="3" t="s">
        <v>85</v>
      </c>
      <c r="C47" s="5">
        <v>-3352980</v>
      </c>
      <c r="D47" s="5">
        <v>-7062310</v>
      </c>
      <c r="E47" s="6" t="s">
        <v>140</v>
      </c>
      <c r="F47" s="6">
        <v>-33531690</v>
      </c>
      <c r="G47" s="6">
        <v>-70619931</v>
      </c>
      <c r="H47" s="6" t="s">
        <v>108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1</v>
      </c>
      <c r="R47" s="6">
        <v>0</v>
      </c>
      <c r="S47" s="6">
        <v>0</v>
      </c>
      <c r="T47" s="6">
        <v>0</v>
      </c>
      <c r="U47" s="6">
        <v>1</v>
      </c>
      <c r="V47" s="6">
        <v>1</v>
      </c>
      <c r="W47" s="6">
        <v>1</v>
      </c>
      <c r="X47" s="6">
        <v>1</v>
      </c>
      <c r="Y47" s="6">
        <v>0</v>
      </c>
      <c r="Z47" s="6">
        <v>1</v>
      </c>
      <c r="AA47" s="6">
        <v>0</v>
      </c>
      <c r="AB47" s="6">
        <v>0</v>
      </c>
      <c r="AC47" s="6">
        <v>1</v>
      </c>
      <c r="AD47" s="6">
        <v>1</v>
      </c>
      <c r="AE47" s="6">
        <v>0</v>
      </c>
      <c r="AF47" s="6">
        <v>1</v>
      </c>
      <c r="AG47" s="6">
        <v>1</v>
      </c>
      <c r="AH47" s="6">
        <v>1</v>
      </c>
      <c r="AI47" s="6">
        <v>0</v>
      </c>
      <c r="AJ47" s="6">
        <v>1</v>
      </c>
      <c r="AK47" s="6"/>
      <c r="AL47" s="6"/>
      <c r="AM47" s="6">
        <v>0</v>
      </c>
      <c r="AN47" s="6">
        <v>0</v>
      </c>
      <c r="AO47" s="6">
        <v>1</v>
      </c>
      <c r="AP47" s="6">
        <v>1</v>
      </c>
      <c r="AQ47" s="6">
        <v>1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1</v>
      </c>
      <c r="AX47" s="6">
        <v>1</v>
      </c>
      <c r="AY47" s="6">
        <v>0</v>
      </c>
      <c r="AZ47" s="6"/>
      <c r="BA47" s="6"/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1</v>
      </c>
      <c r="BH47" s="6">
        <v>0</v>
      </c>
      <c r="BI47" s="6">
        <v>1</v>
      </c>
      <c r="BJ47" s="6"/>
      <c r="BK47" s="6"/>
      <c r="BL47" s="6">
        <v>0</v>
      </c>
      <c r="BM47" s="6">
        <v>0</v>
      </c>
      <c r="BN47" s="6">
        <v>0</v>
      </c>
      <c r="BO47" s="6">
        <v>1</v>
      </c>
      <c r="BP47" s="6">
        <v>0</v>
      </c>
      <c r="BQ47" s="6">
        <v>0</v>
      </c>
      <c r="BR47" s="6">
        <v>0</v>
      </c>
      <c r="BS47" s="11"/>
      <c r="BT47" s="11"/>
      <c r="BU47" s="6"/>
      <c r="BV47" s="6"/>
      <c r="BW47" s="6"/>
      <c r="BX47" s="6"/>
      <c r="BY47" s="6"/>
      <c r="BZ47" s="6"/>
      <c r="CA47" s="6"/>
      <c r="CB47" s="6"/>
    </row>
    <row r="48" spans="1:80" x14ac:dyDescent="0.25">
      <c r="A48" t="s">
        <v>90</v>
      </c>
      <c r="B48" s="3" t="s">
        <v>85</v>
      </c>
      <c r="C48" s="5">
        <v>-3352980</v>
      </c>
      <c r="D48" s="5">
        <v>-7062310</v>
      </c>
      <c r="E48" s="6" t="s">
        <v>141</v>
      </c>
      <c r="F48" s="6">
        <v>-33531856</v>
      </c>
      <c r="G48" s="6">
        <v>-70619960</v>
      </c>
      <c r="H48" s="3" t="s">
        <v>96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12">
        <v>0</v>
      </c>
      <c r="AI48" s="12">
        <v>0</v>
      </c>
      <c r="AJ48" s="12">
        <v>0</v>
      </c>
      <c r="AK48" s="6"/>
      <c r="AL48" s="6"/>
      <c r="AM48" s="6">
        <v>1</v>
      </c>
      <c r="AN48" s="6">
        <v>1</v>
      </c>
      <c r="AO48" s="6">
        <v>0</v>
      </c>
      <c r="AP48" s="6">
        <v>2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1</v>
      </c>
      <c r="AX48" s="6">
        <v>1</v>
      </c>
      <c r="AY48" s="6">
        <v>1</v>
      </c>
      <c r="AZ48" s="6"/>
      <c r="BA48" s="6"/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1</v>
      </c>
      <c r="BJ48" s="6"/>
      <c r="BK48" s="6"/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11"/>
      <c r="BT48" s="11"/>
      <c r="BU48" s="6"/>
      <c r="BV48" s="6"/>
      <c r="BW48" s="6"/>
      <c r="BX48" s="6"/>
      <c r="BY48" s="6"/>
      <c r="BZ48" s="6"/>
      <c r="CA48" s="6"/>
      <c r="CB48" s="6"/>
    </row>
    <row r="49" spans="1:80" x14ac:dyDescent="0.25">
      <c r="A49" t="s">
        <v>90</v>
      </c>
      <c r="B49" s="3" t="s">
        <v>85</v>
      </c>
      <c r="C49" s="5">
        <v>-3352980</v>
      </c>
      <c r="D49" s="5">
        <v>-7062310</v>
      </c>
      <c r="E49" s="6" t="s">
        <v>142</v>
      </c>
      <c r="F49" s="6">
        <v>-33531930</v>
      </c>
      <c r="G49" s="6">
        <v>-70621255</v>
      </c>
      <c r="H49" s="6" t="s">
        <v>94</v>
      </c>
      <c r="I49" s="6">
        <v>1</v>
      </c>
      <c r="J49" s="6">
        <v>0</v>
      </c>
      <c r="K49" s="6">
        <v>1</v>
      </c>
      <c r="L49" s="6">
        <v>0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0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0</v>
      </c>
      <c r="AB49" s="6">
        <v>0</v>
      </c>
      <c r="AC49" s="6">
        <v>1</v>
      </c>
      <c r="AD49" s="6">
        <v>1</v>
      </c>
      <c r="AE49" s="6">
        <v>0</v>
      </c>
      <c r="AF49" s="6">
        <v>1</v>
      </c>
      <c r="AG49" s="6">
        <v>1</v>
      </c>
      <c r="AH49" s="12">
        <v>1</v>
      </c>
      <c r="AI49" s="12">
        <v>1</v>
      </c>
      <c r="AJ49" s="12">
        <v>1</v>
      </c>
      <c r="AK49" s="6"/>
      <c r="AL49" s="6"/>
      <c r="AM49" s="3">
        <v>1</v>
      </c>
      <c r="AN49" s="3">
        <v>1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0</v>
      </c>
      <c r="AU49" s="3">
        <v>0</v>
      </c>
      <c r="AV49" s="3">
        <v>0</v>
      </c>
      <c r="AW49" s="3">
        <v>1</v>
      </c>
      <c r="AX49" s="3">
        <v>1</v>
      </c>
      <c r="AY49" s="3">
        <v>1</v>
      </c>
      <c r="AZ49" s="6"/>
      <c r="BA49" s="6"/>
      <c r="BB49" s="3">
        <v>0</v>
      </c>
      <c r="BC49" s="3">
        <v>1</v>
      </c>
      <c r="BD49" s="3">
        <v>1</v>
      </c>
      <c r="BE49" s="3">
        <v>1</v>
      </c>
      <c r="BF49" s="3">
        <v>1</v>
      </c>
      <c r="BG49" s="3">
        <v>0</v>
      </c>
      <c r="BH49" s="3">
        <v>1</v>
      </c>
      <c r="BI49" s="3">
        <v>1</v>
      </c>
      <c r="BJ49" s="6"/>
      <c r="BK49" s="6"/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11"/>
      <c r="BT49" s="11"/>
      <c r="BU49" s="6"/>
      <c r="BV49" s="6"/>
      <c r="BW49" s="6"/>
      <c r="BX49" s="6"/>
      <c r="BY49" s="6"/>
      <c r="BZ49" s="6"/>
      <c r="CA49" s="6"/>
      <c r="CB49" s="6"/>
    </row>
    <row r="50" spans="1:80" x14ac:dyDescent="0.25">
      <c r="A50" t="s">
        <v>90</v>
      </c>
      <c r="B50" s="3" t="s">
        <v>85</v>
      </c>
      <c r="C50" s="5">
        <v>-3352980</v>
      </c>
      <c r="D50" s="5">
        <v>-7062310</v>
      </c>
      <c r="E50" s="6" t="s">
        <v>143</v>
      </c>
      <c r="F50" s="6">
        <v>-33532398</v>
      </c>
      <c r="G50" s="6">
        <v>-70623053</v>
      </c>
      <c r="H50" s="6" t="s">
        <v>114</v>
      </c>
      <c r="I50" s="6">
        <v>0</v>
      </c>
      <c r="J50" s="6">
        <v>0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0</v>
      </c>
      <c r="U50" s="6">
        <v>0</v>
      </c>
      <c r="V50" s="6">
        <v>0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0</v>
      </c>
      <c r="AC50" s="6">
        <v>1</v>
      </c>
      <c r="AD50" s="6">
        <v>1</v>
      </c>
      <c r="AE50" s="6">
        <v>0</v>
      </c>
      <c r="AF50" s="6">
        <v>1</v>
      </c>
      <c r="AG50" s="6">
        <v>1</v>
      </c>
      <c r="AH50" s="12">
        <v>1</v>
      </c>
      <c r="AI50" s="12">
        <v>1</v>
      </c>
      <c r="AJ50" s="12">
        <v>1</v>
      </c>
      <c r="AK50" s="6"/>
      <c r="AL50" s="6"/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0</v>
      </c>
      <c r="AT50" s="6">
        <v>1</v>
      </c>
      <c r="AU50" s="6">
        <v>1</v>
      </c>
      <c r="AV50" s="6">
        <v>0</v>
      </c>
      <c r="AW50" s="6">
        <v>1</v>
      </c>
      <c r="AX50" s="6">
        <v>1</v>
      </c>
      <c r="AY50" s="6">
        <v>1</v>
      </c>
      <c r="AZ50" s="6"/>
      <c r="BA50" s="6"/>
      <c r="BB50" s="6">
        <v>0</v>
      </c>
      <c r="BC50" s="6">
        <v>1</v>
      </c>
      <c r="BD50" s="6">
        <v>1</v>
      </c>
      <c r="BE50" s="6">
        <v>1</v>
      </c>
      <c r="BF50" s="6">
        <v>1</v>
      </c>
      <c r="BG50" s="6">
        <v>0</v>
      </c>
      <c r="BH50" s="6">
        <v>1</v>
      </c>
      <c r="BI50" s="6">
        <v>1</v>
      </c>
      <c r="BJ50" s="6"/>
      <c r="BK50" s="6"/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11"/>
      <c r="BT50" s="11"/>
      <c r="BU50" s="6"/>
      <c r="BV50" s="6"/>
      <c r="BW50" s="6"/>
      <c r="BX50" s="6"/>
      <c r="BY50" s="6"/>
      <c r="BZ50" s="6"/>
      <c r="CA50" s="6"/>
      <c r="CB50" s="6"/>
    </row>
    <row r="51" spans="1:80" x14ac:dyDescent="0.25">
      <c r="A51" t="s">
        <v>90</v>
      </c>
      <c r="B51" s="3" t="s">
        <v>85</v>
      </c>
      <c r="C51" s="5">
        <v>-3352980</v>
      </c>
      <c r="D51" s="5">
        <v>-7062310</v>
      </c>
      <c r="E51" s="6" t="s">
        <v>144</v>
      </c>
      <c r="F51" s="6">
        <v>-33532109</v>
      </c>
      <c r="G51" s="6">
        <v>-70623281</v>
      </c>
      <c r="H51" s="6" t="s">
        <v>96</v>
      </c>
      <c r="I51" s="6">
        <v>0</v>
      </c>
      <c r="J51" s="6">
        <v>0</v>
      </c>
      <c r="K51" s="6">
        <v>1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3">
        <v>1</v>
      </c>
      <c r="AI51" s="3">
        <v>0</v>
      </c>
      <c r="AJ51" s="3">
        <v>0</v>
      </c>
      <c r="AK51" s="6"/>
      <c r="AL51" s="6"/>
      <c r="AM51" s="3">
        <v>1</v>
      </c>
      <c r="AN51" s="3">
        <v>1</v>
      </c>
      <c r="AO51" s="3">
        <v>0</v>
      </c>
      <c r="AP51" s="3">
        <v>1</v>
      </c>
      <c r="AQ51" s="3">
        <v>0</v>
      </c>
      <c r="AR51" s="3">
        <v>0</v>
      </c>
      <c r="AS51" s="3">
        <v>1</v>
      </c>
      <c r="AT51" s="3">
        <v>0</v>
      </c>
      <c r="AU51" s="3">
        <v>0</v>
      </c>
      <c r="AV51" s="3">
        <v>0</v>
      </c>
      <c r="AW51" s="3">
        <v>1</v>
      </c>
      <c r="AX51" s="3">
        <v>1</v>
      </c>
      <c r="AY51" s="3">
        <v>1</v>
      </c>
      <c r="AZ51" s="6"/>
      <c r="BA51" s="6"/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6"/>
      <c r="BK51" s="6"/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11"/>
      <c r="BT51" s="11"/>
      <c r="BU51" s="6"/>
      <c r="BV51" s="6"/>
      <c r="BW51" s="6"/>
      <c r="BX51" s="6"/>
      <c r="BY51" s="6"/>
      <c r="BZ51" s="6"/>
      <c r="CA51" s="6"/>
      <c r="CB51" s="6"/>
    </row>
    <row r="52" spans="1:80" x14ac:dyDescent="0.25">
      <c r="A52" t="s">
        <v>90</v>
      </c>
      <c r="B52" s="3" t="s">
        <v>85</v>
      </c>
      <c r="C52" s="5">
        <v>-3352980</v>
      </c>
      <c r="D52" s="5">
        <v>-7062310</v>
      </c>
      <c r="E52" s="6" t="s">
        <v>145</v>
      </c>
      <c r="F52" s="6">
        <v>-33531952</v>
      </c>
      <c r="G52" s="6">
        <v>-70623209</v>
      </c>
      <c r="H52" s="6" t="s">
        <v>108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12"/>
      <c r="AI52" s="12"/>
      <c r="AJ52" s="12"/>
      <c r="AK52" s="6"/>
      <c r="AL52" s="6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6"/>
      <c r="BA52" s="6"/>
      <c r="BB52" s="3"/>
      <c r="BC52" s="3"/>
      <c r="BD52" s="3"/>
      <c r="BE52" s="3"/>
      <c r="BF52" s="3"/>
      <c r="BG52" s="3"/>
      <c r="BH52" s="3"/>
      <c r="BI52" s="3"/>
      <c r="BJ52" s="6"/>
      <c r="BK52" s="6"/>
      <c r="BL52" s="3"/>
      <c r="BM52" s="3"/>
      <c r="BN52" s="3"/>
      <c r="BO52" s="3"/>
      <c r="BP52" s="3"/>
      <c r="BQ52" s="3"/>
      <c r="BR52" s="3"/>
      <c r="BS52" s="11"/>
      <c r="BT52" s="11"/>
      <c r="BU52" s="6"/>
      <c r="BV52" s="6"/>
      <c r="BW52" s="6"/>
      <c r="BX52" s="6"/>
      <c r="BY52" s="6"/>
      <c r="BZ52" s="6"/>
      <c r="CA52" s="6"/>
      <c r="CB52" s="6"/>
    </row>
    <row r="53" spans="1:80" x14ac:dyDescent="0.25">
      <c r="A53" t="s">
        <v>90</v>
      </c>
      <c r="B53" s="3" t="s">
        <v>85</v>
      </c>
      <c r="C53" s="5">
        <v>-3352980</v>
      </c>
      <c r="D53" s="5">
        <v>-7062310</v>
      </c>
      <c r="E53" s="6" t="s">
        <v>146</v>
      </c>
      <c r="F53" s="6">
        <v>-33531861</v>
      </c>
      <c r="G53" s="6">
        <v>-70622855</v>
      </c>
      <c r="H53" s="6" t="s">
        <v>118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1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12">
        <v>0</v>
      </c>
      <c r="AI53" s="12">
        <v>0</v>
      </c>
      <c r="AJ53" s="12">
        <v>0</v>
      </c>
      <c r="AK53" s="6"/>
      <c r="AL53" s="6"/>
      <c r="AM53" s="3">
        <v>0</v>
      </c>
      <c r="AN53" s="3">
        <v>1</v>
      </c>
      <c r="AO53" s="3">
        <v>0</v>
      </c>
      <c r="AP53" s="3">
        <v>1</v>
      </c>
      <c r="AQ53" s="3">
        <v>0</v>
      </c>
      <c r="AR53" s="3">
        <v>1</v>
      </c>
      <c r="AS53" s="3">
        <v>1</v>
      </c>
      <c r="AT53" s="3">
        <v>1</v>
      </c>
      <c r="AU53" s="3">
        <v>0</v>
      </c>
      <c r="AV53" s="3">
        <v>1</v>
      </c>
      <c r="AW53" s="3">
        <v>1</v>
      </c>
      <c r="AX53" s="3">
        <v>1</v>
      </c>
      <c r="AY53" s="3">
        <v>1</v>
      </c>
      <c r="AZ53" s="6"/>
      <c r="BA53" s="6"/>
      <c r="BB53" s="3">
        <v>0</v>
      </c>
      <c r="BC53" s="3">
        <v>0</v>
      </c>
      <c r="BD53" s="3">
        <v>1</v>
      </c>
      <c r="BE53" s="3">
        <v>0</v>
      </c>
      <c r="BF53" s="3">
        <v>0</v>
      </c>
      <c r="BG53" s="3">
        <v>0</v>
      </c>
      <c r="BH53" s="3">
        <v>0</v>
      </c>
      <c r="BI53" s="3">
        <v>1</v>
      </c>
      <c r="BJ53" s="6"/>
      <c r="BK53" s="6"/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11"/>
      <c r="BT53" s="11"/>
      <c r="BU53" s="6"/>
      <c r="BV53" s="6"/>
      <c r="BW53" s="6"/>
      <c r="BX53" s="6"/>
      <c r="BY53" s="6"/>
      <c r="BZ53" s="6"/>
      <c r="CA53" s="6"/>
      <c r="CB53" s="6"/>
    </row>
    <row r="54" spans="1:80" x14ac:dyDescent="0.25">
      <c r="A54" t="s">
        <v>90</v>
      </c>
      <c r="B54" s="3" t="s">
        <v>87</v>
      </c>
      <c r="C54" s="8">
        <v>-33494037</v>
      </c>
      <c r="D54" s="6">
        <v>-70597500</v>
      </c>
      <c r="E54" s="6" t="s">
        <v>147</v>
      </c>
      <c r="F54" s="6">
        <v>-33493090</v>
      </c>
      <c r="G54" s="9">
        <v>-70600266</v>
      </c>
      <c r="H54" s="9" t="s">
        <v>148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3"/>
      <c r="AI54" s="3"/>
      <c r="AJ54" s="3"/>
      <c r="AK54" s="6"/>
      <c r="AL54" s="6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6"/>
      <c r="BA54" s="6"/>
      <c r="BB54" s="3"/>
      <c r="BC54" s="3"/>
      <c r="BD54" s="3"/>
      <c r="BE54" s="3"/>
      <c r="BF54" s="3"/>
      <c r="BG54" s="3"/>
      <c r="BH54" s="3"/>
      <c r="BI54" s="3"/>
      <c r="BJ54" s="6"/>
      <c r="BK54" s="6"/>
      <c r="BL54" s="3"/>
      <c r="BM54" s="3"/>
      <c r="BN54" s="3"/>
      <c r="BO54" s="3"/>
      <c r="BP54" s="3"/>
      <c r="BQ54" s="3"/>
      <c r="BR54" s="3"/>
      <c r="BS54" s="11"/>
      <c r="BT54" s="11"/>
      <c r="BU54" s="6"/>
      <c r="BV54" s="6"/>
      <c r="BW54" s="6"/>
      <c r="BX54" s="6"/>
      <c r="BY54" s="6"/>
      <c r="BZ54" s="6"/>
      <c r="CA54" s="6"/>
      <c r="CB54" s="6"/>
    </row>
    <row r="55" spans="1:80" x14ac:dyDescent="0.25">
      <c r="A55" t="s">
        <v>90</v>
      </c>
      <c r="B55" s="3" t="s">
        <v>87</v>
      </c>
      <c r="C55" s="8">
        <v>-33494037</v>
      </c>
      <c r="D55" s="6">
        <v>-70597500</v>
      </c>
      <c r="E55" s="3" t="s">
        <v>149</v>
      </c>
      <c r="F55" s="3">
        <v>-33493075</v>
      </c>
      <c r="G55" s="3">
        <v>-70601989</v>
      </c>
      <c r="H55" s="3" t="s">
        <v>92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1</v>
      </c>
      <c r="O55" s="3">
        <v>1</v>
      </c>
      <c r="P55" s="3">
        <v>0</v>
      </c>
      <c r="Q55" s="3">
        <v>1</v>
      </c>
      <c r="R55" s="3">
        <v>1</v>
      </c>
      <c r="S55" s="3">
        <v>1</v>
      </c>
      <c r="T55" s="3">
        <v>0</v>
      </c>
      <c r="U55" s="3">
        <v>1</v>
      </c>
      <c r="V55" s="3">
        <v>0</v>
      </c>
      <c r="W55" s="3">
        <v>1</v>
      </c>
      <c r="X55" s="3">
        <v>1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1</v>
      </c>
      <c r="AE55" s="3">
        <v>0</v>
      </c>
      <c r="AF55" s="3">
        <v>1</v>
      </c>
      <c r="AG55" s="3">
        <v>1</v>
      </c>
      <c r="AH55" s="12">
        <v>1</v>
      </c>
      <c r="AI55" s="12">
        <v>1</v>
      </c>
      <c r="AJ55" s="12">
        <v>1</v>
      </c>
      <c r="AK55" s="6"/>
      <c r="AL55" s="6"/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0</v>
      </c>
      <c r="AU55" s="3">
        <v>0</v>
      </c>
      <c r="AV55" s="3">
        <v>1</v>
      </c>
      <c r="AW55" s="3">
        <v>1</v>
      </c>
      <c r="AX55" s="3">
        <v>1</v>
      </c>
      <c r="AY55" s="3">
        <v>1</v>
      </c>
      <c r="AZ55" s="6"/>
      <c r="BA55" s="6"/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1</v>
      </c>
      <c r="BJ55" s="6"/>
      <c r="BK55" s="6"/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11"/>
      <c r="BT55" s="11"/>
      <c r="BU55" s="6"/>
      <c r="BV55" s="6"/>
      <c r="BW55" s="6"/>
      <c r="BX55" s="6"/>
      <c r="BY55" s="6"/>
      <c r="BZ55" s="6"/>
      <c r="CA55" s="6"/>
      <c r="CB55" s="6"/>
    </row>
    <row r="56" spans="1:80" x14ac:dyDescent="0.25">
      <c r="A56" t="s">
        <v>90</v>
      </c>
      <c r="B56" s="3" t="s">
        <v>87</v>
      </c>
      <c r="C56" s="8">
        <v>-33494037</v>
      </c>
      <c r="D56" s="6">
        <v>-70597500</v>
      </c>
      <c r="E56" s="3" t="s">
        <v>150</v>
      </c>
      <c r="F56" s="3">
        <v>-33492910</v>
      </c>
      <c r="G56" s="3">
        <v>-70602019</v>
      </c>
      <c r="H56" s="3" t="s">
        <v>151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6"/>
      <c r="AL56" s="6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6"/>
      <c r="BA56" s="6"/>
      <c r="BB56" s="3"/>
      <c r="BC56" s="3"/>
      <c r="BD56" s="3"/>
      <c r="BE56" s="3"/>
      <c r="BF56" s="3"/>
      <c r="BG56" s="3"/>
      <c r="BH56" s="3"/>
      <c r="BI56" s="3"/>
      <c r="BJ56" s="6"/>
      <c r="BK56" s="6"/>
      <c r="BL56" s="3"/>
      <c r="BM56" s="3"/>
      <c r="BN56" s="3"/>
      <c r="BO56" s="3"/>
      <c r="BP56" s="3"/>
      <c r="BQ56" s="3"/>
      <c r="BR56" s="3"/>
      <c r="BS56" s="11"/>
      <c r="BT56" s="11"/>
      <c r="BU56" s="6"/>
      <c r="BV56" s="6"/>
      <c r="BW56" s="6"/>
      <c r="BX56" s="6"/>
      <c r="BY56" s="6"/>
      <c r="BZ56" s="6"/>
      <c r="CA56" s="6"/>
      <c r="CB56" s="6"/>
    </row>
    <row r="57" spans="1:80" x14ac:dyDescent="0.25">
      <c r="A57" t="s">
        <v>90</v>
      </c>
      <c r="B57" s="3" t="s">
        <v>87</v>
      </c>
      <c r="C57" s="8">
        <v>-33494037</v>
      </c>
      <c r="D57" s="6">
        <v>-70597500</v>
      </c>
      <c r="E57" s="3" t="s">
        <v>152</v>
      </c>
      <c r="F57" s="3">
        <v>-33492747</v>
      </c>
      <c r="G57" s="3">
        <v>-70602279</v>
      </c>
      <c r="H57" s="3" t="s">
        <v>153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12"/>
      <c r="AI57" s="12"/>
      <c r="AJ57" s="12"/>
      <c r="AK57" s="6"/>
      <c r="AL57" s="6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6"/>
      <c r="BA57" s="6"/>
      <c r="BB57" s="3"/>
      <c r="BC57" s="3"/>
      <c r="BD57" s="3"/>
      <c r="BE57" s="3"/>
      <c r="BF57" s="3"/>
      <c r="BG57" s="3"/>
      <c r="BH57" s="3"/>
      <c r="BI57" s="3"/>
      <c r="BJ57" s="6"/>
      <c r="BK57" s="6"/>
      <c r="BL57" s="3"/>
      <c r="BM57" s="3"/>
      <c r="BN57" s="3"/>
      <c r="BO57" s="3"/>
      <c r="BP57" s="3"/>
      <c r="BQ57" s="3"/>
      <c r="BR57" s="3"/>
      <c r="BS57" s="11"/>
      <c r="BT57" s="11"/>
      <c r="BU57" s="6"/>
      <c r="BV57" s="6"/>
      <c r="BW57" s="6"/>
      <c r="BX57" s="6"/>
      <c r="BY57" s="6"/>
      <c r="BZ57" s="6"/>
      <c r="CA57" s="6"/>
      <c r="CB57" s="6"/>
    </row>
    <row r="58" spans="1:80" x14ac:dyDescent="0.25">
      <c r="A58" t="s">
        <v>90</v>
      </c>
      <c r="B58" s="3" t="s">
        <v>87</v>
      </c>
      <c r="C58" s="8">
        <v>-33494037</v>
      </c>
      <c r="D58" s="6">
        <v>-70597500</v>
      </c>
      <c r="E58" s="3" t="s">
        <v>154</v>
      </c>
      <c r="F58" s="3">
        <v>-33491846</v>
      </c>
      <c r="G58" s="3">
        <v>-70601939</v>
      </c>
      <c r="H58" s="3" t="s">
        <v>155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12"/>
      <c r="AI58" s="12"/>
      <c r="AJ58" s="12"/>
      <c r="AK58" s="6"/>
      <c r="AL58" s="6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6"/>
      <c r="BA58" s="6"/>
      <c r="BB58" s="3"/>
      <c r="BC58" s="3"/>
      <c r="BD58" s="3"/>
      <c r="BE58" s="3"/>
      <c r="BF58" s="3"/>
      <c r="BG58" s="3"/>
      <c r="BH58" s="3"/>
      <c r="BI58" s="3"/>
      <c r="BJ58" s="6"/>
      <c r="BK58" s="6"/>
      <c r="BL58" s="3"/>
      <c r="BM58" s="3"/>
      <c r="BN58" s="3"/>
      <c r="BO58" s="3"/>
      <c r="BP58" s="3"/>
      <c r="BQ58" s="3"/>
      <c r="BR58" s="3"/>
      <c r="BS58" s="11"/>
      <c r="BT58" s="11"/>
      <c r="BU58" s="6"/>
      <c r="BV58" s="6"/>
      <c r="BW58" s="6"/>
      <c r="BX58" s="6"/>
      <c r="BY58" s="6"/>
      <c r="BZ58" s="6"/>
      <c r="CA58" s="6"/>
      <c r="CB58" s="6"/>
    </row>
    <row r="59" spans="1:80" x14ac:dyDescent="0.25">
      <c r="A59" t="s">
        <v>90</v>
      </c>
      <c r="B59" s="3" t="s">
        <v>87</v>
      </c>
      <c r="C59" s="8">
        <v>-33494037</v>
      </c>
      <c r="D59" s="6">
        <v>-70597500</v>
      </c>
      <c r="E59" s="3" t="s">
        <v>156</v>
      </c>
      <c r="F59" s="3">
        <v>-33495188</v>
      </c>
      <c r="G59" s="3">
        <v>-70602068</v>
      </c>
      <c r="H59" s="3" t="s">
        <v>151</v>
      </c>
      <c r="I59" s="3">
        <v>1</v>
      </c>
      <c r="J59" s="3">
        <v>0</v>
      </c>
      <c r="K59" s="3">
        <v>0</v>
      </c>
      <c r="L59" s="3">
        <v>0</v>
      </c>
      <c r="M59" s="3">
        <v>1</v>
      </c>
      <c r="N59" s="3">
        <v>1</v>
      </c>
      <c r="O59" s="3">
        <v>1</v>
      </c>
      <c r="P59" s="3">
        <v>0</v>
      </c>
      <c r="Q59" s="3">
        <v>1</v>
      </c>
      <c r="R59" s="3">
        <v>1</v>
      </c>
      <c r="S59" s="3">
        <v>1</v>
      </c>
      <c r="T59" s="3">
        <v>0</v>
      </c>
      <c r="U59" s="3">
        <v>1</v>
      </c>
      <c r="V59" s="3">
        <v>1</v>
      </c>
      <c r="W59" s="3">
        <v>1</v>
      </c>
      <c r="X59" s="3">
        <v>1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3">
        <v>1</v>
      </c>
      <c r="AE59" s="3">
        <v>0</v>
      </c>
      <c r="AF59" s="3">
        <v>1</v>
      </c>
      <c r="AG59" s="3">
        <v>1</v>
      </c>
      <c r="AH59" s="12">
        <v>1</v>
      </c>
      <c r="AI59" s="12">
        <v>1</v>
      </c>
      <c r="AJ59" s="12">
        <v>1</v>
      </c>
      <c r="AK59" s="6"/>
      <c r="AL59" s="6"/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1</v>
      </c>
      <c r="AX59" s="3">
        <v>1</v>
      </c>
      <c r="AY59" s="3">
        <v>1</v>
      </c>
      <c r="AZ59" s="6"/>
      <c r="BA59" s="6"/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1</v>
      </c>
      <c r="BJ59" s="6"/>
      <c r="BK59" s="6"/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11"/>
      <c r="BT59" s="11"/>
      <c r="BU59" s="6"/>
      <c r="BV59" s="6"/>
      <c r="BW59" s="6"/>
      <c r="BX59" s="6"/>
      <c r="BY59" s="6"/>
      <c r="BZ59" s="6"/>
      <c r="CA59" s="6"/>
      <c r="CB59" s="6"/>
    </row>
    <row r="60" spans="1:80" x14ac:dyDescent="0.25">
      <c r="A60" t="s">
        <v>90</v>
      </c>
      <c r="B60" s="3" t="s">
        <v>87</v>
      </c>
      <c r="C60" s="8">
        <v>-33494037</v>
      </c>
      <c r="D60" s="6">
        <v>-70597500</v>
      </c>
      <c r="E60" s="3" t="s">
        <v>157</v>
      </c>
      <c r="F60" s="3">
        <v>-33495301</v>
      </c>
      <c r="G60" s="3">
        <v>-70602114</v>
      </c>
      <c r="H60" s="3" t="s">
        <v>100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2"/>
      <c r="AI60" s="12"/>
      <c r="AJ60" s="12"/>
      <c r="AK60" s="6"/>
      <c r="AL60" s="6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6"/>
      <c r="BA60" s="6"/>
      <c r="BB60" s="3"/>
      <c r="BC60" s="3"/>
      <c r="BD60" s="3"/>
      <c r="BE60" s="3"/>
      <c r="BF60" s="3"/>
      <c r="BG60" s="3"/>
      <c r="BH60" s="3"/>
      <c r="BI60" s="3"/>
      <c r="BJ60" s="6"/>
      <c r="BK60" s="6"/>
      <c r="BL60" s="3"/>
      <c r="BM60" s="3"/>
      <c r="BN60" s="3"/>
      <c r="BO60" s="3"/>
      <c r="BP60" s="3"/>
      <c r="BQ60" s="3"/>
      <c r="BR60" s="3"/>
      <c r="BS60" s="11"/>
      <c r="BT60" s="11"/>
      <c r="BU60" s="6"/>
      <c r="BV60" s="6"/>
      <c r="BW60" s="6"/>
      <c r="BX60" s="6"/>
      <c r="BY60" s="6"/>
      <c r="BZ60" s="6"/>
      <c r="CA60" s="6"/>
      <c r="CB60" s="6"/>
    </row>
    <row r="61" spans="1:80" x14ac:dyDescent="0.25">
      <c r="A61" t="s">
        <v>90</v>
      </c>
      <c r="B61" s="3" t="s">
        <v>87</v>
      </c>
      <c r="C61" s="8">
        <v>-33494037</v>
      </c>
      <c r="D61" s="6">
        <v>-70597500</v>
      </c>
      <c r="E61" s="3" t="s">
        <v>158</v>
      </c>
      <c r="F61" s="3">
        <v>-33495298</v>
      </c>
      <c r="G61" s="3">
        <v>-70602266</v>
      </c>
      <c r="H61" s="3" t="s">
        <v>132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12"/>
      <c r="AI61" s="12"/>
      <c r="AJ61" s="12"/>
      <c r="AK61" s="6"/>
      <c r="AL61" s="6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6"/>
      <c r="BA61" s="6"/>
      <c r="BB61" s="3"/>
      <c r="BC61" s="3"/>
      <c r="BD61" s="3"/>
      <c r="BE61" s="3"/>
      <c r="BF61" s="3"/>
      <c r="BG61" s="3"/>
      <c r="BH61" s="3"/>
      <c r="BI61" s="3"/>
      <c r="BJ61" s="6"/>
      <c r="BK61" s="6"/>
      <c r="BL61" s="3"/>
      <c r="BM61" s="3"/>
      <c r="BN61" s="3"/>
      <c r="BO61" s="3"/>
      <c r="BP61" s="3"/>
      <c r="BQ61" s="3"/>
      <c r="BR61" s="3"/>
      <c r="BS61" s="11"/>
      <c r="BT61" s="11"/>
      <c r="BU61" s="6"/>
      <c r="BV61" s="6"/>
      <c r="BW61" s="6"/>
      <c r="BX61" s="6"/>
      <c r="BY61" s="6"/>
      <c r="BZ61" s="6"/>
      <c r="CA61" s="6"/>
      <c r="CB61" s="6"/>
    </row>
    <row r="62" spans="1:80" x14ac:dyDescent="0.25">
      <c r="A62" t="s">
        <v>90</v>
      </c>
      <c r="B62" s="3" t="s">
        <v>87</v>
      </c>
      <c r="C62" s="8">
        <v>-33494037</v>
      </c>
      <c r="D62" s="6">
        <v>-70597500</v>
      </c>
      <c r="E62" s="3" t="s">
        <v>159</v>
      </c>
      <c r="F62" s="5">
        <v>-33495368</v>
      </c>
      <c r="G62" s="3">
        <v>-70602376</v>
      </c>
      <c r="H62" s="3" t="s">
        <v>132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12"/>
      <c r="AI62" s="12"/>
      <c r="AJ62" s="12"/>
      <c r="AK62" s="6"/>
      <c r="AL62" s="6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6"/>
      <c r="BA62" s="6"/>
      <c r="BB62" s="3"/>
      <c r="BC62" s="3"/>
      <c r="BD62" s="3"/>
      <c r="BE62" s="3"/>
      <c r="BF62" s="3"/>
      <c r="BG62" s="3"/>
      <c r="BH62" s="3"/>
      <c r="BI62" s="3"/>
      <c r="BJ62" s="6"/>
      <c r="BK62" s="6"/>
      <c r="BL62" s="3"/>
      <c r="BM62" s="3"/>
      <c r="BN62" s="3"/>
      <c r="BO62" s="3"/>
      <c r="BP62" s="3"/>
      <c r="BQ62" s="3"/>
      <c r="BR62" s="3"/>
      <c r="BS62" s="11"/>
      <c r="BT62" s="11"/>
      <c r="BU62" s="6"/>
      <c r="BV62" s="6"/>
      <c r="BW62" s="6"/>
      <c r="BX62" s="6"/>
      <c r="BY62" s="6"/>
      <c r="BZ62" s="6"/>
      <c r="CA62" s="6"/>
      <c r="CB62" s="6"/>
    </row>
    <row r="63" spans="1:80" x14ac:dyDescent="0.25">
      <c r="A63" t="s">
        <v>90</v>
      </c>
      <c r="B63" s="3" t="s">
        <v>87</v>
      </c>
      <c r="C63" s="8">
        <v>-33494037</v>
      </c>
      <c r="D63" s="6">
        <v>-70597500</v>
      </c>
      <c r="E63" s="3" t="s">
        <v>160</v>
      </c>
      <c r="F63" s="5">
        <v>-33492894</v>
      </c>
      <c r="G63" s="3">
        <v>-70599924</v>
      </c>
      <c r="H63" s="3" t="s">
        <v>161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11"/>
      <c r="BT63" s="11"/>
      <c r="BU63" s="6"/>
      <c r="BV63" s="6"/>
      <c r="BW63" s="6"/>
      <c r="BX63" s="6"/>
      <c r="BY63" s="6"/>
      <c r="BZ63" s="6"/>
      <c r="CA63" s="6"/>
      <c r="CB63" s="6"/>
    </row>
    <row r="64" spans="1:80" x14ac:dyDescent="0.25">
      <c r="A64" t="s">
        <v>90</v>
      </c>
      <c r="B64" s="3" t="s">
        <v>87</v>
      </c>
      <c r="C64" s="8">
        <v>-33494037</v>
      </c>
      <c r="D64" s="6">
        <v>-70597500</v>
      </c>
      <c r="E64" s="3" t="s">
        <v>162</v>
      </c>
      <c r="F64" s="3">
        <v>-33492688</v>
      </c>
      <c r="G64" s="3">
        <v>-70599679</v>
      </c>
      <c r="H64" s="3" t="s">
        <v>163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1"/>
      <c r="BT64" s="11"/>
      <c r="BU64" s="6"/>
      <c r="BV64" s="6"/>
      <c r="BW64" s="6"/>
      <c r="BX64" s="6"/>
      <c r="BY64" s="6"/>
      <c r="BZ64" s="6"/>
      <c r="CA64" s="6"/>
      <c r="CB64" s="6"/>
    </row>
    <row r="65" spans="1:80" x14ac:dyDescent="0.25">
      <c r="A65" t="s">
        <v>90</v>
      </c>
      <c r="B65" s="3" t="s">
        <v>87</v>
      </c>
      <c r="C65" s="8">
        <v>-33494037</v>
      </c>
      <c r="D65" s="6">
        <v>-70597500</v>
      </c>
      <c r="E65" s="3" t="s">
        <v>164</v>
      </c>
      <c r="F65" s="3">
        <v>-33492585</v>
      </c>
      <c r="G65" s="3">
        <v>-70599864</v>
      </c>
      <c r="H65" s="5" t="s">
        <v>100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11"/>
      <c r="BT65" s="11"/>
      <c r="BU65" s="6"/>
      <c r="BV65" s="6"/>
      <c r="BW65" s="6"/>
      <c r="BX65" s="6"/>
      <c r="BY65" s="6"/>
      <c r="BZ65" s="6"/>
      <c r="CA65" s="6"/>
      <c r="CB65" s="6"/>
    </row>
    <row r="66" spans="1:80" x14ac:dyDescent="0.25">
      <c r="A66" t="s">
        <v>90</v>
      </c>
      <c r="B66" s="3" t="s">
        <v>87</v>
      </c>
      <c r="C66" s="8">
        <v>-33494037</v>
      </c>
      <c r="D66" s="6">
        <v>-70597500</v>
      </c>
      <c r="E66" s="3" t="s">
        <v>165</v>
      </c>
      <c r="F66" s="5">
        <v>-33492384</v>
      </c>
      <c r="G66" s="5">
        <v>-70599886</v>
      </c>
      <c r="H66" s="5" t="s">
        <v>166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0</v>
      </c>
      <c r="W66" s="6">
        <v>1</v>
      </c>
      <c r="X66" s="6">
        <v>1</v>
      </c>
      <c r="Y66" s="6">
        <v>0</v>
      </c>
      <c r="Z66" s="6">
        <v>1</v>
      </c>
      <c r="AA66" s="6">
        <v>0</v>
      </c>
      <c r="AB66" s="6">
        <v>0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0</v>
      </c>
      <c r="AJ66" s="6">
        <v>0</v>
      </c>
      <c r="AK66" s="6"/>
      <c r="AL66" s="6"/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1</v>
      </c>
      <c r="AT66" s="6">
        <v>1</v>
      </c>
      <c r="AU66" s="6">
        <v>0</v>
      </c>
      <c r="AV66" s="6">
        <v>1</v>
      </c>
      <c r="AW66" s="6">
        <v>1</v>
      </c>
      <c r="AX66" s="6">
        <v>1</v>
      </c>
      <c r="AY66" s="6">
        <v>1</v>
      </c>
      <c r="AZ66" s="6"/>
      <c r="BA66" s="6"/>
      <c r="BB66" s="6">
        <v>0</v>
      </c>
      <c r="BC66" s="6">
        <v>0</v>
      </c>
      <c r="BD66" s="6">
        <v>1</v>
      </c>
      <c r="BE66" s="6">
        <v>1</v>
      </c>
      <c r="BF66" s="6">
        <v>0</v>
      </c>
      <c r="BG66" s="6">
        <v>1</v>
      </c>
      <c r="BH66" s="6">
        <v>0</v>
      </c>
      <c r="BI66" s="6">
        <v>1</v>
      </c>
      <c r="BJ66" s="6"/>
      <c r="BK66" s="6"/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11"/>
      <c r="BT66" s="11"/>
      <c r="BU66" s="6"/>
      <c r="BV66" s="6"/>
      <c r="BW66" s="6"/>
      <c r="BX66" s="6"/>
      <c r="BY66" s="6"/>
      <c r="BZ66" s="6"/>
      <c r="CA66" s="6"/>
      <c r="CB66" s="6"/>
    </row>
    <row r="67" spans="1:80" x14ac:dyDescent="0.25">
      <c r="A67" t="s">
        <v>90</v>
      </c>
      <c r="B67" s="3" t="s">
        <v>87</v>
      </c>
      <c r="C67" s="8">
        <v>-33494037</v>
      </c>
      <c r="D67" s="6">
        <v>-70597500</v>
      </c>
      <c r="E67" s="3" t="s">
        <v>167</v>
      </c>
      <c r="F67" s="5">
        <v>-33492283</v>
      </c>
      <c r="G67" s="5">
        <v>-70599883</v>
      </c>
      <c r="H67" s="5" t="s">
        <v>108</v>
      </c>
      <c r="I67" s="6">
        <v>0</v>
      </c>
      <c r="J67" s="6">
        <v>0</v>
      </c>
      <c r="K67" s="6">
        <v>0</v>
      </c>
      <c r="L67" s="6">
        <v>0</v>
      </c>
      <c r="M67" s="6">
        <v>1</v>
      </c>
      <c r="N67" s="6">
        <v>1</v>
      </c>
      <c r="O67" s="6">
        <v>1</v>
      </c>
      <c r="P67" s="6">
        <v>0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0</v>
      </c>
      <c r="W67" s="6">
        <v>1</v>
      </c>
      <c r="X67" s="6">
        <v>1</v>
      </c>
      <c r="Y67" s="6">
        <v>0</v>
      </c>
      <c r="Z67" s="6">
        <v>0</v>
      </c>
      <c r="AA67" s="6">
        <v>0</v>
      </c>
      <c r="AB67" s="6">
        <v>0</v>
      </c>
      <c r="AC67" s="6">
        <v>1</v>
      </c>
      <c r="AD67" s="6">
        <v>1</v>
      </c>
      <c r="AE67" s="6">
        <v>0</v>
      </c>
      <c r="AF67" s="6">
        <v>1</v>
      </c>
      <c r="AG67" s="6">
        <v>0</v>
      </c>
      <c r="AH67" s="6">
        <v>0</v>
      </c>
      <c r="AI67" s="6">
        <v>0</v>
      </c>
      <c r="AJ67" s="6">
        <v>0</v>
      </c>
      <c r="AK67" s="6"/>
      <c r="AL67" s="6"/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1</v>
      </c>
      <c r="AY67" s="6">
        <v>1</v>
      </c>
      <c r="AZ67" s="6"/>
      <c r="BA67" s="6"/>
      <c r="BB67" s="6">
        <v>0</v>
      </c>
      <c r="BC67" s="6">
        <v>0</v>
      </c>
      <c r="BD67" s="6">
        <v>0</v>
      </c>
      <c r="BE67" s="6">
        <v>0</v>
      </c>
      <c r="BF67" s="6">
        <v>1</v>
      </c>
      <c r="BG67" s="6">
        <v>1</v>
      </c>
      <c r="BH67" s="6">
        <v>0</v>
      </c>
      <c r="BI67" s="6">
        <v>0</v>
      </c>
      <c r="BJ67" s="6"/>
      <c r="BK67" s="6"/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11"/>
      <c r="BT67" s="11"/>
      <c r="BU67" s="6"/>
      <c r="BV67" s="6"/>
      <c r="BW67" s="6"/>
      <c r="BX67" s="6"/>
      <c r="BY67" s="6"/>
      <c r="BZ67" s="6"/>
      <c r="CA67" s="6"/>
      <c r="CB67" s="6"/>
    </row>
    <row r="68" spans="1:80" x14ac:dyDescent="0.25">
      <c r="A68" t="s">
        <v>90</v>
      </c>
      <c r="B68" s="3" t="s">
        <v>87</v>
      </c>
      <c r="C68" s="8">
        <v>-33494037</v>
      </c>
      <c r="D68" s="6">
        <v>-70597500</v>
      </c>
      <c r="E68" s="3" t="s">
        <v>168</v>
      </c>
      <c r="F68" s="5">
        <v>-33491876</v>
      </c>
      <c r="G68" s="5">
        <v>-70599902</v>
      </c>
      <c r="H68" s="5" t="s">
        <v>108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/>
      <c r="AL68" s="6"/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/>
      <c r="BA68" s="6"/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1</v>
      </c>
      <c r="BH68" s="6">
        <v>0</v>
      </c>
      <c r="BI68" s="6">
        <v>0</v>
      </c>
      <c r="BJ68" s="6"/>
      <c r="BK68" s="6"/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11"/>
      <c r="BT68" s="11"/>
      <c r="BU68" s="6"/>
      <c r="BV68" s="6"/>
      <c r="BW68" s="6"/>
      <c r="BX68" s="6"/>
      <c r="BY68" s="6"/>
      <c r="BZ68" s="6"/>
      <c r="CA68" s="6"/>
      <c r="CB68" s="6"/>
    </row>
    <row r="69" spans="1:80" x14ac:dyDescent="0.25">
      <c r="A69" t="s">
        <v>90</v>
      </c>
      <c r="B69" s="3" t="s">
        <v>87</v>
      </c>
      <c r="C69" s="8">
        <v>-33494037</v>
      </c>
      <c r="D69" s="6">
        <v>-70597500</v>
      </c>
      <c r="E69" s="3" t="s">
        <v>169</v>
      </c>
      <c r="F69" s="5">
        <v>-33491724</v>
      </c>
      <c r="G69" s="5">
        <v>-70599878</v>
      </c>
      <c r="H69" s="5" t="s">
        <v>170</v>
      </c>
      <c r="I69" s="6">
        <v>1</v>
      </c>
      <c r="J69" s="6">
        <v>0</v>
      </c>
      <c r="K69" s="6">
        <v>0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/>
      <c r="AL69" s="6"/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/>
      <c r="BA69" s="6"/>
      <c r="BB69" s="6">
        <v>1</v>
      </c>
      <c r="BC69" s="6">
        <v>1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/>
      <c r="BK69" s="6"/>
      <c r="BL69" s="6">
        <v>0</v>
      </c>
      <c r="BM69" s="6">
        <v>0</v>
      </c>
      <c r="BN69" s="6">
        <v>1</v>
      </c>
      <c r="BO69" s="6">
        <v>0</v>
      </c>
      <c r="BP69" s="6">
        <v>0</v>
      </c>
      <c r="BQ69" s="6">
        <v>0</v>
      </c>
      <c r="BR69" s="6">
        <v>0</v>
      </c>
      <c r="BS69" s="11"/>
      <c r="BT69" s="11"/>
      <c r="BU69" s="6"/>
      <c r="BV69" s="6"/>
      <c r="BW69" s="6"/>
      <c r="BX69" s="6"/>
      <c r="BY69" s="6"/>
      <c r="BZ69" s="6"/>
      <c r="CA69" s="6"/>
      <c r="CB69" s="6"/>
    </row>
    <row r="70" spans="1:80" x14ac:dyDescent="0.25">
      <c r="A70" t="s">
        <v>90</v>
      </c>
      <c r="B70" s="3" t="s">
        <v>87</v>
      </c>
      <c r="C70" s="8">
        <v>-33494037</v>
      </c>
      <c r="D70" s="6">
        <v>-70597500</v>
      </c>
      <c r="E70" s="3" t="s">
        <v>171</v>
      </c>
      <c r="F70" s="5">
        <v>-33491681</v>
      </c>
      <c r="G70" s="5">
        <v>-70599884</v>
      </c>
      <c r="H70" s="5" t="s">
        <v>100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11"/>
      <c r="BT70" s="11"/>
      <c r="BU70" s="6"/>
      <c r="BV70" s="6"/>
      <c r="BW70" s="6"/>
      <c r="BX70" s="6"/>
      <c r="BY70" s="6"/>
      <c r="BZ70" s="6"/>
      <c r="CA70" s="6"/>
      <c r="CB70" s="6"/>
    </row>
    <row r="71" spans="1:80" x14ac:dyDescent="0.25">
      <c r="A71" t="s">
        <v>90</v>
      </c>
      <c r="B71" s="3" t="s">
        <v>87</v>
      </c>
      <c r="C71" s="8">
        <v>-33494037</v>
      </c>
      <c r="D71" s="6">
        <v>-70597500</v>
      </c>
      <c r="E71" s="3" t="s">
        <v>172</v>
      </c>
      <c r="F71" s="5">
        <v>-33491544</v>
      </c>
      <c r="G71" s="5">
        <v>-70599896</v>
      </c>
      <c r="H71" s="5" t="s">
        <v>173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/>
      <c r="AL71" s="6"/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1</v>
      </c>
      <c r="AY71" s="6">
        <v>0</v>
      </c>
      <c r="AZ71" s="6"/>
      <c r="BA71" s="6"/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/>
      <c r="BK71" s="6"/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11"/>
      <c r="BT71" s="11"/>
      <c r="BU71" s="6"/>
      <c r="BV71" s="6"/>
      <c r="BW71" s="6"/>
      <c r="BX71" s="6"/>
      <c r="BY71" s="6"/>
      <c r="BZ71" s="6"/>
      <c r="CA71" s="6"/>
      <c r="CB71" s="6"/>
    </row>
    <row r="72" spans="1:80" x14ac:dyDescent="0.25">
      <c r="A72" t="s">
        <v>90</v>
      </c>
      <c r="B72" s="3" t="s">
        <v>87</v>
      </c>
      <c r="C72" s="8">
        <v>-33494037</v>
      </c>
      <c r="D72" s="6">
        <v>-70597500</v>
      </c>
      <c r="E72" s="3" t="s">
        <v>174</v>
      </c>
      <c r="F72" s="5">
        <v>-33491193</v>
      </c>
      <c r="G72" s="5">
        <v>-70599891</v>
      </c>
      <c r="H72" s="5" t="s">
        <v>175</v>
      </c>
      <c r="I72" s="3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1</v>
      </c>
      <c r="AE72" s="6">
        <v>0</v>
      </c>
      <c r="AF72" s="6">
        <v>1</v>
      </c>
      <c r="AG72" s="6">
        <v>1</v>
      </c>
      <c r="AH72" s="12">
        <v>0</v>
      </c>
      <c r="AI72" s="12">
        <v>1</v>
      </c>
      <c r="AJ72" s="12">
        <v>1</v>
      </c>
      <c r="AK72" s="6"/>
      <c r="AL72" s="6"/>
      <c r="AM72" s="6">
        <v>0</v>
      </c>
      <c r="AN72" s="6">
        <v>1</v>
      </c>
      <c r="AO72" s="6">
        <v>1</v>
      </c>
      <c r="AP72" s="6">
        <v>0</v>
      </c>
      <c r="AQ72" s="6">
        <v>1</v>
      </c>
      <c r="AR72" s="6">
        <v>0</v>
      </c>
      <c r="AS72" s="6">
        <v>1</v>
      </c>
      <c r="AT72" s="6">
        <v>0</v>
      </c>
      <c r="AU72" s="6">
        <v>0</v>
      </c>
      <c r="AV72" s="6">
        <v>0</v>
      </c>
      <c r="AW72" s="6">
        <v>1</v>
      </c>
      <c r="AX72" s="6">
        <v>1</v>
      </c>
      <c r="AY72" s="6">
        <v>0</v>
      </c>
      <c r="AZ72" s="6"/>
      <c r="BA72" s="6"/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/>
      <c r="BK72" s="6"/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11"/>
      <c r="BT72" s="11"/>
      <c r="BU72" s="6"/>
      <c r="BV72" s="6"/>
      <c r="BW72" s="6"/>
      <c r="BX72" s="6"/>
      <c r="BY72" s="6"/>
      <c r="BZ72" s="6"/>
      <c r="CA72" s="6"/>
      <c r="CB72" s="6"/>
    </row>
    <row r="73" spans="1:80" x14ac:dyDescent="0.25">
      <c r="A73" t="s">
        <v>90</v>
      </c>
      <c r="B73" s="3" t="s">
        <v>87</v>
      </c>
      <c r="C73" s="8">
        <v>-33494037</v>
      </c>
      <c r="D73" s="6">
        <v>-70597500</v>
      </c>
      <c r="E73" s="3" t="s">
        <v>176</v>
      </c>
      <c r="F73" s="5">
        <v>-33490864</v>
      </c>
      <c r="G73" s="5">
        <v>-70599920</v>
      </c>
      <c r="H73" s="5" t="s">
        <v>177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6">
        <v>1</v>
      </c>
      <c r="AA73" s="6">
        <v>0</v>
      </c>
      <c r="AB73" s="6">
        <v>1</v>
      </c>
      <c r="AC73" s="6">
        <v>1</v>
      </c>
      <c r="AD73" s="6">
        <v>1</v>
      </c>
      <c r="AE73" s="6">
        <v>0</v>
      </c>
      <c r="AF73" s="6">
        <v>0</v>
      </c>
      <c r="AG73" s="6">
        <v>1</v>
      </c>
      <c r="AH73" s="6">
        <v>0</v>
      </c>
      <c r="AI73" s="6">
        <v>1</v>
      </c>
      <c r="AJ73" s="6">
        <v>1</v>
      </c>
      <c r="AK73" s="6"/>
      <c r="AL73" s="6"/>
      <c r="AM73" s="6">
        <v>1</v>
      </c>
      <c r="AN73" s="6">
        <v>1</v>
      </c>
      <c r="AO73" s="6">
        <v>0</v>
      </c>
      <c r="AP73" s="6">
        <v>1</v>
      </c>
      <c r="AQ73" s="6">
        <v>1</v>
      </c>
      <c r="AR73" s="6">
        <v>0</v>
      </c>
      <c r="AS73" s="6">
        <v>1</v>
      </c>
      <c r="AT73" s="6">
        <v>0</v>
      </c>
      <c r="AU73" s="6">
        <v>1</v>
      </c>
      <c r="AV73" s="6">
        <v>0</v>
      </c>
      <c r="AW73" s="6">
        <v>1</v>
      </c>
      <c r="AX73" s="6">
        <v>1</v>
      </c>
      <c r="AY73" s="6">
        <v>0</v>
      </c>
      <c r="AZ73" s="6"/>
      <c r="BA73" s="6"/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/>
      <c r="BK73" s="6"/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11"/>
      <c r="BT73" s="11"/>
      <c r="BU73" s="6"/>
      <c r="BV73" s="6"/>
      <c r="BW73" s="6"/>
      <c r="BX73" s="6"/>
      <c r="BY73" s="6"/>
      <c r="BZ73" s="6"/>
      <c r="CA73" s="6"/>
      <c r="CB73" s="6"/>
    </row>
    <row r="74" spans="1:80" x14ac:dyDescent="0.25">
      <c r="A74" t="s">
        <v>90</v>
      </c>
      <c r="B74" s="3" t="s">
        <v>87</v>
      </c>
      <c r="C74" s="8">
        <v>-33494037</v>
      </c>
      <c r="D74" s="6">
        <v>-70597500</v>
      </c>
      <c r="E74" s="3" t="s">
        <v>178</v>
      </c>
      <c r="F74" s="5">
        <v>-33490253</v>
      </c>
      <c r="G74" s="5">
        <v>-70599675</v>
      </c>
      <c r="H74" s="5" t="s">
        <v>179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  <c r="N74" s="6">
        <v>1</v>
      </c>
      <c r="O74" s="6">
        <v>1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12">
        <v>0</v>
      </c>
      <c r="AI74" s="12">
        <v>0</v>
      </c>
      <c r="AJ74" s="12">
        <v>0</v>
      </c>
      <c r="AK74" s="6"/>
      <c r="AL74" s="6"/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/>
      <c r="BA74" s="6"/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1</v>
      </c>
      <c r="BH74" s="6">
        <v>0</v>
      </c>
      <c r="BI74" s="6">
        <v>0</v>
      </c>
      <c r="BJ74" s="6"/>
      <c r="BK74" s="6"/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11"/>
      <c r="BT74" s="11"/>
      <c r="BU74" s="6"/>
      <c r="BV74" s="6"/>
      <c r="BW74" s="6"/>
      <c r="BX74" s="6"/>
      <c r="BY74" s="6"/>
      <c r="BZ74" s="6"/>
      <c r="CA74" s="6"/>
      <c r="CB74" s="6"/>
    </row>
    <row r="75" spans="1:80" x14ac:dyDescent="0.25">
      <c r="A75" t="s">
        <v>90</v>
      </c>
      <c r="B75" s="3" t="s">
        <v>87</v>
      </c>
      <c r="C75" s="8">
        <v>-33494037</v>
      </c>
      <c r="D75" s="6">
        <v>-70597500</v>
      </c>
      <c r="E75" s="3" t="s">
        <v>180</v>
      </c>
      <c r="F75" s="5">
        <v>-33490807</v>
      </c>
      <c r="G75" s="5">
        <v>-70599455</v>
      </c>
      <c r="H75" s="5" t="s">
        <v>181</v>
      </c>
      <c r="I75" s="6">
        <v>0</v>
      </c>
      <c r="J75" s="6">
        <v>0</v>
      </c>
      <c r="K75" s="6">
        <v>0</v>
      </c>
      <c r="L75" s="6">
        <v>1</v>
      </c>
      <c r="M75" s="6">
        <v>1</v>
      </c>
      <c r="N75" s="6">
        <v>1</v>
      </c>
      <c r="O75" s="6">
        <v>1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1</v>
      </c>
      <c r="V75" s="6">
        <v>0</v>
      </c>
      <c r="W75" s="6">
        <v>1</v>
      </c>
      <c r="X75" s="6">
        <v>1</v>
      </c>
      <c r="Y75" s="6">
        <v>0</v>
      </c>
      <c r="Z75" s="6">
        <v>1</v>
      </c>
      <c r="AA75" s="6">
        <v>0</v>
      </c>
      <c r="AB75" s="6">
        <v>0</v>
      </c>
      <c r="AC75" s="6">
        <v>1</v>
      </c>
      <c r="AD75" s="6">
        <v>1</v>
      </c>
      <c r="AE75" s="6">
        <v>1</v>
      </c>
      <c r="AF75" s="6">
        <v>0</v>
      </c>
      <c r="AG75" s="6">
        <v>1</v>
      </c>
      <c r="AH75" s="12">
        <v>1</v>
      </c>
      <c r="AI75" s="12">
        <v>0</v>
      </c>
      <c r="AJ75" s="12">
        <v>0</v>
      </c>
      <c r="AK75" s="6"/>
      <c r="AL75" s="6"/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0</v>
      </c>
      <c r="AS75" s="6">
        <v>1</v>
      </c>
      <c r="AT75" s="6">
        <v>0</v>
      </c>
      <c r="AU75" s="6">
        <v>0</v>
      </c>
      <c r="AV75" s="6">
        <v>0</v>
      </c>
      <c r="AW75" s="6">
        <v>1</v>
      </c>
      <c r="AX75" s="6">
        <v>1</v>
      </c>
      <c r="AY75" s="6">
        <v>0</v>
      </c>
      <c r="AZ75" s="6"/>
      <c r="BA75" s="6"/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1</v>
      </c>
      <c r="BJ75" s="6"/>
      <c r="BK75" s="6"/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11"/>
      <c r="BT75" s="11"/>
      <c r="BU75" s="6"/>
      <c r="BV75" s="6"/>
      <c r="BW75" s="6"/>
      <c r="BX75" s="6"/>
      <c r="BY75" s="6"/>
      <c r="BZ75" s="6"/>
      <c r="CA75" s="6"/>
      <c r="CB75" s="6"/>
    </row>
    <row r="76" spans="1:80" x14ac:dyDescent="0.25">
      <c r="A76" t="s">
        <v>90</v>
      </c>
      <c r="B76" s="3" t="s">
        <v>87</v>
      </c>
      <c r="C76" s="8">
        <v>-33494037</v>
      </c>
      <c r="D76" s="6">
        <v>-70597500</v>
      </c>
      <c r="E76" s="3" t="s">
        <v>182</v>
      </c>
      <c r="F76" s="5">
        <v>-33492961</v>
      </c>
      <c r="G76" s="5">
        <v>-70599672</v>
      </c>
      <c r="H76" s="5" t="s">
        <v>183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0</v>
      </c>
      <c r="U76" s="6">
        <v>1</v>
      </c>
      <c r="V76" s="6">
        <v>0</v>
      </c>
      <c r="W76" s="6">
        <v>1</v>
      </c>
      <c r="X76" s="6">
        <v>1</v>
      </c>
      <c r="Y76" s="6">
        <v>0</v>
      </c>
      <c r="Z76" s="6">
        <v>1</v>
      </c>
      <c r="AA76" s="6">
        <v>1</v>
      </c>
      <c r="AB76" s="6">
        <v>0</v>
      </c>
      <c r="AC76" s="6">
        <v>1</v>
      </c>
      <c r="AD76" s="6">
        <v>1</v>
      </c>
      <c r="AE76" s="6">
        <v>0</v>
      </c>
      <c r="AF76" s="6">
        <v>1</v>
      </c>
      <c r="AG76" s="6">
        <v>1</v>
      </c>
      <c r="AH76" s="12">
        <v>1</v>
      </c>
      <c r="AI76" s="12">
        <v>0</v>
      </c>
      <c r="AJ76" s="12">
        <v>0</v>
      </c>
      <c r="AK76" s="6"/>
      <c r="AL76" s="6"/>
      <c r="AM76" s="6">
        <v>1</v>
      </c>
      <c r="AN76" s="6">
        <v>1</v>
      </c>
      <c r="AO76" s="6">
        <v>1</v>
      </c>
      <c r="AP76" s="6">
        <v>1</v>
      </c>
      <c r="AQ76" s="6">
        <v>1</v>
      </c>
      <c r="AR76" s="6">
        <v>0</v>
      </c>
      <c r="AS76" s="6">
        <v>1</v>
      </c>
      <c r="AT76" s="6">
        <v>1</v>
      </c>
      <c r="AU76" s="6">
        <v>1</v>
      </c>
      <c r="AV76" s="6">
        <v>0</v>
      </c>
      <c r="AW76" s="6">
        <v>1</v>
      </c>
      <c r="AX76" s="6">
        <v>1</v>
      </c>
      <c r="AY76" s="6">
        <v>0</v>
      </c>
      <c r="AZ76" s="6"/>
      <c r="BA76" s="6"/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/>
      <c r="BK76" s="6"/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11"/>
      <c r="BT76" s="11"/>
      <c r="BU76" s="6"/>
      <c r="BV76" s="6"/>
      <c r="BW76" s="6"/>
      <c r="BX76" s="6"/>
      <c r="BY76" s="6"/>
      <c r="BZ76" s="6"/>
      <c r="CA76" s="6"/>
      <c r="CB76" s="6"/>
    </row>
    <row r="77" spans="1:80" x14ac:dyDescent="0.25">
      <c r="A77" t="s">
        <v>90</v>
      </c>
      <c r="B77" s="3" t="s">
        <v>87</v>
      </c>
      <c r="C77" s="8">
        <v>-33494037</v>
      </c>
      <c r="D77" s="6">
        <v>-70597500</v>
      </c>
      <c r="E77" s="3" t="s">
        <v>184</v>
      </c>
      <c r="F77" s="5">
        <v>-33495610</v>
      </c>
      <c r="G77" s="5">
        <v>-70599138</v>
      </c>
      <c r="H77" s="5" t="s">
        <v>96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11"/>
      <c r="BT77" s="11"/>
      <c r="BU77" s="6"/>
      <c r="BV77" s="6"/>
      <c r="BW77" s="6"/>
      <c r="BX77" s="6"/>
      <c r="BY77" s="6"/>
      <c r="BZ77" s="6"/>
      <c r="CA77" s="6"/>
      <c r="CB77" s="6"/>
    </row>
    <row r="78" spans="1:80" x14ac:dyDescent="0.25">
      <c r="A78" t="s">
        <v>90</v>
      </c>
      <c r="B78" s="3" t="s">
        <v>87</v>
      </c>
      <c r="C78" s="8">
        <v>-33494037</v>
      </c>
      <c r="D78" s="6">
        <v>-70597500</v>
      </c>
      <c r="E78" s="3" t="s">
        <v>185</v>
      </c>
      <c r="F78" s="5">
        <v>-33496870</v>
      </c>
      <c r="G78" s="5">
        <v>-70598263</v>
      </c>
      <c r="H78" s="5" t="s">
        <v>186</v>
      </c>
      <c r="I78" s="6">
        <v>1</v>
      </c>
      <c r="J78" s="6">
        <v>1</v>
      </c>
      <c r="K78" s="6">
        <v>0</v>
      </c>
      <c r="L78" s="6">
        <v>0</v>
      </c>
      <c r="M78" s="6">
        <v>1</v>
      </c>
      <c r="N78" s="6">
        <v>1</v>
      </c>
      <c r="O78" s="6">
        <v>1</v>
      </c>
      <c r="P78" s="6">
        <v>0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0</v>
      </c>
      <c r="AB78" s="6">
        <v>0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12">
        <v>1</v>
      </c>
      <c r="AI78" s="12">
        <v>0</v>
      </c>
      <c r="AJ78" s="12">
        <v>0</v>
      </c>
      <c r="AK78" s="6"/>
      <c r="AL78" s="6"/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6">
        <v>0</v>
      </c>
      <c r="AU78" s="6">
        <v>0</v>
      </c>
      <c r="AV78" s="6">
        <v>0</v>
      </c>
      <c r="AW78" s="6">
        <v>1</v>
      </c>
      <c r="AX78" s="6">
        <v>1</v>
      </c>
      <c r="AY78" s="6">
        <v>1</v>
      </c>
      <c r="AZ78" s="6"/>
      <c r="BA78" s="6"/>
      <c r="BB78" s="6">
        <v>0</v>
      </c>
      <c r="BC78" s="6">
        <v>0</v>
      </c>
      <c r="BD78" s="6">
        <v>1</v>
      </c>
      <c r="BE78" s="6">
        <v>0</v>
      </c>
      <c r="BF78" s="6">
        <v>0</v>
      </c>
      <c r="BG78" s="6">
        <v>0</v>
      </c>
      <c r="BH78" s="6">
        <v>0</v>
      </c>
      <c r="BI78" s="6">
        <v>1</v>
      </c>
      <c r="BJ78" s="6"/>
      <c r="BK78" s="6"/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11"/>
      <c r="BT78" s="11"/>
      <c r="BU78" s="6"/>
      <c r="BV78" s="6"/>
      <c r="BW78" s="6"/>
      <c r="BX78" s="6"/>
      <c r="BY78" s="6"/>
      <c r="BZ78" s="6"/>
      <c r="CA78" s="6"/>
      <c r="CB78" s="6"/>
    </row>
    <row r="79" spans="1:80" x14ac:dyDescent="0.25">
      <c r="A79" t="s">
        <v>90</v>
      </c>
      <c r="B79" s="3" t="s">
        <v>87</v>
      </c>
      <c r="C79" s="8">
        <v>-33494037</v>
      </c>
      <c r="D79" s="6">
        <v>-70597500</v>
      </c>
      <c r="E79" s="3" t="s">
        <v>187</v>
      </c>
      <c r="F79" s="5">
        <v>-33497612</v>
      </c>
      <c r="G79" s="5">
        <v>-70597230</v>
      </c>
      <c r="H79" s="5" t="s">
        <v>132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11"/>
      <c r="BT79" s="11"/>
      <c r="BU79" s="6"/>
      <c r="BV79" s="6"/>
      <c r="BW79" s="6"/>
      <c r="BX79" s="6"/>
      <c r="BY79" s="6"/>
      <c r="BZ79" s="6"/>
      <c r="CA79" s="6"/>
      <c r="CB79" s="6"/>
    </row>
    <row r="80" spans="1:80" x14ac:dyDescent="0.25">
      <c r="A80" t="s">
        <v>90</v>
      </c>
      <c r="B80" s="3" t="s">
        <v>87</v>
      </c>
      <c r="C80" s="8">
        <v>-33494037</v>
      </c>
      <c r="D80" s="6">
        <v>-70597500</v>
      </c>
      <c r="E80" s="3" t="s">
        <v>188</v>
      </c>
      <c r="F80" s="5">
        <v>-33494601</v>
      </c>
      <c r="G80" s="5">
        <v>-70596797</v>
      </c>
      <c r="H80" s="5" t="s">
        <v>94</v>
      </c>
      <c r="I80" s="6">
        <v>1</v>
      </c>
      <c r="J80" s="6">
        <v>0</v>
      </c>
      <c r="K80" s="6">
        <v>0</v>
      </c>
      <c r="L80" s="6">
        <v>0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0</v>
      </c>
      <c r="W80" s="6">
        <v>1</v>
      </c>
      <c r="X80" s="6">
        <v>1</v>
      </c>
      <c r="Y80" s="6">
        <v>0</v>
      </c>
      <c r="Z80" s="6">
        <v>1</v>
      </c>
      <c r="AA80" s="6">
        <v>0</v>
      </c>
      <c r="AB80" s="6">
        <v>0</v>
      </c>
      <c r="AC80" s="6">
        <v>1</v>
      </c>
      <c r="AD80" s="6">
        <v>1</v>
      </c>
      <c r="AE80" s="6">
        <v>1</v>
      </c>
      <c r="AF80" s="6">
        <v>0</v>
      </c>
      <c r="AG80" s="6">
        <v>1</v>
      </c>
      <c r="AH80" s="6">
        <v>1</v>
      </c>
      <c r="AI80" s="6">
        <v>0</v>
      </c>
      <c r="AJ80" s="6">
        <v>0</v>
      </c>
      <c r="AK80" s="6"/>
      <c r="AL80" s="6"/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0</v>
      </c>
      <c r="AV80" s="6">
        <v>0</v>
      </c>
      <c r="AW80" s="6">
        <v>1</v>
      </c>
      <c r="AX80" s="6">
        <v>1</v>
      </c>
      <c r="AY80" s="6">
        <v>1</v>
      </c>
      <c r="AZ80" s="6"/>
      <c r="BA80" s="6"/>
      <c r="BB80" s="6">
        <v>0</v>
      </c>
      <c r="BC80" s="6">
        <v>0</v>
      </c>
      <c r="BD80" s="6">
        <v>1</v>
      </c>
      <c r="BE80" s="6">
        <v>0</v>
      </c>
      <c r="BF80" s="6">
        <v>0</v>
      </c>
      <c r="BG80" s="6">
        <v>0</v>
      </c>
      <c r="BH80" s="6">
        <v>0</v>
      </c>
      <c r="BI80" s="6">
        <v>1</v>
      </c>
      <c r="BJ80" s="6"/>
      <c r="BK80" s="6"/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11"/>
      <c r="BT80" s="11"/>
      <c r="BU80" s="6"/>
      <c r="BV80" s="6"/>
      <c r="BW80" s="6"/>
      <c r="BX80" s="6"/>
      <c r="BY80" s="6"/>
      <c r="BZ80" s="6"/>
      <c r="CA80" s="6"/>
      <c r="CB80" s="6"/>
    </row>
    <row r="81" spans="1:80" x14ac:dyDescent="0.25">
      <c r="A81" t="s">
        <v>90</v>
      </c>
      <c r="B81" s="3" t="s">
        <v>87</v>
      </c>
      <c r="C81" s="8">
        <v>-33494037</v>
      </c>
      <c r="D81" s="6">
        <v>-70597500</v>
      </c>
      <c r="E81" s="3" t="s">
        <v>189</v>
      </c>
      <c r="F81" s="5">
        <v>-33491121</v>
      </c>
      <c r="G81" s="5">
        <v>-70598513</v>
      </c>
      <c r="H81" s="5" t="s">
        <v>190</v>
      </c>
      <c r="I81" s="6">
        <v>0</v>
      </c>
      <c r="J81" s="6">
        <v>0</v>
      </c>
      <c r="K81" s="6">
        <v>0</v>
      </c>
      <c r="L81" s="6">
        <v>0</v>
      </c>
      <c r="M81" s="6">
        <v>1</v>
      </c>
      <c r="N81" s="6">
        <v>1</v>
      </c>
      <c r="O81" s="6">
        <v>1</v>
      </c>
      <c r="P81" s="6">
        <v>0</v>
      </c>
      <c r="Q81" s="6">
        <v>1</v>
      </c>
      <c r="R81" s="6">
        <v>1</v>
      </c>
      <c r="S81" s="6">
        <v>1</v>
      </c>
      <c r="T81" s="6">
        <v>0</v>
      </c>
      <c r="U81" s="6">
        <v>1</v>
      </c>
      <c r="V81" s="6">
        <v>0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0</v>
      </c>
      <c r="AC81" s="6">
        <v>1</v>
      </c>
      <c r="AD81" s="6">
        <v>1</v>
      </c>
      <c r="AE81" s="6">
        <v>1</v>
      </c>
      <c r="AF81" s="6">
        <v>1</v>
      </c>
      <c r="AG81" s="6">
        <v>1</v>
      </c>
      <c r="AH81" s="6">
        <v>1</v>
      </c>
      <c r="AI81" s="6">
        <v>0</v>
      </c>
      <c r="AJ81" s="6">
        <v>0</v>
      </c>
      <c r="AK81" s="6"/>
      <c r="AL81" s="6"/>
      <c r="AM81" s="6">
        <v>1</v>
      </c>
      <c r="AN81" s="6">
        <v>1</v>
      </c>
      <c r="AO81" s="6">
        <v>1</v>
      </c>
      <c r="AP81" s="6">
        <v>1</v>
      </c>
      <c r="AQ81" s="6">
        <v>1</v>
      </c>
      <c r="AR81" s="6">
        <v>0</v>
      </c>
      <c r="AS81" s="6">
        <v>0</v>
      </c>
      <c r="AT81" s="6">
        <v>1</v>
      </c>
      <c r="AU81" s="6">
        <v>1</v>
      </c>
      <c r="AV81" s="6">
        <v>0</v>
      </c>
      <c r="AW81" s="6">
        <v>1</v>
      </c>
      <c r="AX81" s="6">
        <v>1</v>
      </c>
      <c r="AY81" s="6">
        <v>0</v>
      </c>
      <c r="AZ81" s="6"/>
      <c r="BA81" s="6"/>
      <c r="BB81" s="6">
        <v>0</v>
      </c>
      <c r="BC81" s="6">
        <v>0</v>
      </c>
      <c r="BD81" s="6">
        <v>0</v>
      </c>
      <c r="BE81" s="6">
        <v>1</v>
      </c>
      <c r="BF81" s="6">
        <v>0</v>
      </c>
      <c r="BG81" s="6">
        <v>0</v>
      </c>
      <c r="BH81" s="6">
        <v>0</v>
      </c>
      <c r="BI81" s="6">
        <v>1</v>
      </c>
      <c r="BJ81" s="6"/>
      <c r="BK81" s="6"/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11"/>
      <c r="BT81" s="11"/>
      <c r="BU81" s="6"/>
      <c r="BV81" s="6"/>
      <c r="BW81" s="6"/>
      <c r="BX81" s="6"/>
      <c r="BY81" s="6"/>
      <c r="BZ81" s="6"/>
      <c r="CA81" s="6"/>
      <c r="CB81" s="6"/>
    </row>
    <row r="82" spans="1:80" x14ac:dyDescent="0.25">
      <c r="A82" t="s">
        <v>90</v>
      </c>
      <c r="B82" s="3" t="s">
        <v>87</v>
      </c>
      <c r="C82" s="8">
        <v>-33494037</v>
      </c>
      <c r="D82" s="6">
        <v>-70597500</v>
      </c>
      <c r="E82" s="3" t="s">
        <v>191</v>
      </c>
      <c r="F82" s="5">
        <v>-33491146</v>
      </c>
      <c r="G82" s="5">
        <v>-70598500</v>
      </c>
      <c r="H82" s="5" t="s">
        <v>192</v>
      </c>
      <c r="I82" s="6">
        <v>1</v>
      </c>
      <c r="J82" s="6">
        <v>0</v>
      </c>
      <c r="K82" s="6">
        <v>1</v>
      </c>
      <c r="L82" s="6">
        <v>0</v>
      </c>
      <c r="M82" s="6">
        <v>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/>
      <c r="AL82" s="6"/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1</v>
      </c>
      <c r="AX82" s="6">
        <v>1</v>
      </c>
      <c r="AY82" s="6">
        <v>0</v>
      </c>
      <c r="AZ82" s="6"/>
      <c r="BA82" s="6"/>
      <c r="BB82" s="6">
        <v>1</v>
      </c>
      <c r="BC82" s="6">
        <v>1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/>
      <c r="BK82" s="6"/>
      <c r="BL82" s="6">
        <v>0</v>
      </c>
      <c r="BM82" s="6">
        <v>0</v>
      </c>
      <c r="BN82" s="6">
        <v>1</v>
      </c>
      <c r="BO82" s="6">
        <v>0</v>
      </c>
      <c r="BP82" s="6">
        <v>0</v>
      </c>
      <c r="BQ82" s="6">
        <v>0</v>
      </c>
      <c r="BR82" s="6">
        <v>0</v>
      </c>
      <c r="BS82" s="11"/>
      <c r="BT82" s="11"/>
      <c r="BU82" s="6"/>
      <c r="BV82" s="6"/>
      <c r="BW82" s="6"/>
      <c r="BX82" s="6"/>
      <c r="BY82" s="6"/>
      <c r="BZ82" s="6"/>
      <c r="CA82" s="6"/>
      <c r="CB82" s="6"/>
    </row>
    <row r="83" spans="1:80" x14ac:dyDescent="0.25">
      <c r="A83" t="s">
        <v>90</v>
      </c>
      <c r="B83" s="3" t="s">
        <v>87</v>
      </c>
      <c r="C83" s="8">
        <v>-33494037</v>
      </c>
      <c r="D83" s="6">
        <v>-70597500</v>
      </c>
      <c r="E83" s="3" t="s">
        <v>193</v>
      </c>
      <c r="F83" s="5">
        <v>-33493217</v>
      </c>
      <c r="G83" s="5">
        <v>-70599524</v>
      </c>
      <c r="H83" s="5" t="s">
        <v>194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1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/>
      <c r="AL83" s="6"/>
      <c r="AM83" s="6">
        <v>1</v>
      </c>
      <c r="AN83" s="6">
        <v>1</v>
      </c>
      <c r="AO83" s="6">
        <v>0</v>
      </c>
      <c r="AP83" s="6">
        <v>1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1</v>
      </c>
      <c r="AX83" s="6">
        <v>1</v>
      </c>
      <c r="AY83" s="6">
        <v>0</v>
      </c>
      <c r="AZ83" s="6"/>
      <c r="BA83" s="6"/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/>
      <c r="BK83" s="6"/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11"/>
      <c r="BT83" s="11"/>
      <c r="BU83" s="6"/>
      <c r="BV83" s="6"/>
      <c r="BW83" s="6"/>
      <c r="BX83" s="6"/>
      <c r="BY83" s="6"/>
      <c r="BZ83" s="6"/>
      <c r="CA83" s="6"/>
      <c r="CB83" s="6"/>
    </row>
    <row r="84" spans="1:80" x14ac:dyDescent="0.25">
      <c r="A84" t="s">
        <v>90</v>
      </c>
      <c r="B84" s="3" t="s">
        <v>88</v>
      </c>
      <c r="C84" s="5">
        <v>-33505741</v>
      </c>
      <c r="D84" s="6">
        <v>-70624308</v>
      </c>
      <c r="E84" s="3" t="s">
        <v>195</v>
      </c>
      <c r="F84" s="5">
        <v>-33506218</v>
      </c>
      <c r="G84" s="5">
        <v>-70624173</v>
      </c>
      <c r="H84" s="5" t="s">
        <v>194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</v>
      </c>
      <c r="AD84" s="6">
        <v>1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/>
      <c r="AL84" s="6"/>
      <c r="AM84" s="6">
        <v>1</v>
      </c>
      <c r="AN84" s="6">
        <v>1</v>
      </c>
      <c r="AO84" s="6">
        <v>0</v>
      </c>
      <c r="AP84" s="6">
        <v>1</v>
      </c>
      <c r="AQ84" s="6">
        <v>0</v>
      </c>
      <c r="AR84" s="6">
        <v>0</v>
      </c>
      <c r="AS84" s="6">
        <v>1</v>
      </c>
      <c r="AT84" s="6">
        <v>0</v>
      </c>
      <c r="AU84" s="6">
        <v>0</v>
      </c>
      <c r="AV84" s="6">
        <v>1</v>
      </c>
      <c r="AW84" s="6">
        <v>1</v>
      </c>
      <c r="AX84" s="6">
        <v>1</v>
      </c>
      <c r="AY84" s="6">
        <v>0</v>
      </c>
      <c r="AZ84" s="6"/>
      <c r="BA84" s="6"/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/>
      <c r="BK84" s="6"/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11"/>
      <c r="BT84" s="11"/>
      <c r="BU84" s="6"/>
      <c r="BV84" s="6"/>
      <c r="BW84" s="6"/>
      <c r="BX84" s="6"/>
      <c r="BY84" s="6"/>
      <c r="BZ84" s="6"/>
      <c r="CA84" s="6"/>
      <c r="CB84" s="6"/>
    </row>
    <row r="85" spans="1:80" x14ac:dyDescent="0.25">
      <c r="A85" t="s">
        <v>90</v>
      </c>
      <c r="B85" s="3" t="s">
        <v>88</v>
      </c>
      <c r="C85" s="5">
        <v>-33505741</v>
      </c>
      <c r="D85" s="6">
        <v>-70624308</v>
      </c>
      <c r="E85" s="3" t="s">
        <v>196</v>
      </c>
      <c r="F85" s="5">
        <v>-33506793</v>
      </c>
      <c r="G85" s="5">
        <v>-70623306</v>
      </c>
      <c r="H85" s="5" t="s">
        <v>197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11"/>
      <c r="BT85" s="11"/>
      <c r="BU85" s="6"/>
      <c r="BV85" s="6"/>
      <c r="BW85" s="6"/>
      <c r="BX85" s="6"/>
      <c r="BY85" s="6"/>
      <c r="BZ85" s="6"/>
      <c r="CA85" s="6"/>
      <c r="CB85" s="6"/>
    </row>
    <row r="86" spans="1:80" x14ac:dyDescent="0.25">
      <c r="A86" t="s">
        <v>90</v>
      </c>
      <c r="B86" s="3" t="s">
        <v>88</v>
      </c>
      <c r="C86" s="5">
        <v>-33505741</v>
      </c>
      <c r="D86" s="6">
        <v>-70624308</v>
      </c>
      <c r="E86" s="3" t="s">
        <v>198</v>
      </c>
      <c r="F86" s="5">
        <v>-33507577</v>
      </c>
      <c r="G86" s="5">
        <v>-70623099</v>
      </c>
      <c r="H86" s="5" t="s">
        <v>94</v>
      </c>
      <c r="I86" s="6">
        <v>1</v>
      </c>
      <c r="J86" s="6">
        <v>0</v>
      </c>
      <c r="K86" s="6">
        <v>0</v>
      </c>
      <c r="L86" s="6">
        <v>0</v>
      </c>
      <c r="M86" s="6">
        <v>1</v>
      </c>
      <c r="N86" s="6">
        <v>1</v>
      </c>
      <c r="O86" s="6">
        <v>1</v>
      </c>
      <c r="P86" s="6">
        <v>0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0</v>
      </c>
      <c r="W86" s="6">
        <v>1</v>
      </c>
      <c r="X86" s="6">
        <v>1</v>
      </c>
      <c r="Y86" s="6">
        <v>0</v>
      </c>
      <c r="Z86" s="6">
        <v>1</v>
      </c>
      <c r="AA86" s="6">
        <v>0</v>
      </c>
      <c r="AB86" s="6">
        <v>0</v>
      </c>
      <c r="AC86" s="6">
        <v>1</v>
      </c>
      <c r="AD86" s="6">
        <v>1</v>
      </c>
      <c r="AE86" s="6">
        <v>0</v>
      </c>
      <c r="AF86" s="6">
        <v>1</v>
      </c>
      <c r="AG86" s="6">
        <v>1</v>
      </c>
      <c r="AH86" s="6">
        <v>1</v>
      </c>
      <c r="AI86" s="6">
        <v>0</v>
      </c>
      <c r="AJ86" s="6">
        <v>0</v>
      </c>
      <c r="AK86" s="6"/>
      <c r="AL86" s="6"/>
      <c r="AM86" s="6">
        <v>1</v>
      </c>
      <c r="AN86" s="6">
        <v>1</v>
      </c>
      <c r="AO86" s="6">
        <v>1</v>
      </c>
      <c r="AP86" s="6">
        <v>1</v>
      </c>
      <c r="AQ86" s="6">
        <v>1</v>
      </c>
      <c r="AR86" s="6">
        <v>0</v>
      </c>
      <c r="AS86" s="6">
        <v>1</v>
      </c>
      <c r="AT86" s="6">
        <v>0</v>
      </c>
      <c r="AU86" s="6">
        <v>0</v>
      </c>
      <c r="AV86" s="6">
        <v>0</v>
      </c>
      <c r="AW86" s="6">
        <v>1</v>
      </c>
      <c r="AX86" s="6">
        <v>1</v>
      </c>
      <c r="AY86" s="6">
        <v>0</v>
      </c>
      <c r="AZ86" s="6"/>
      <c r="BA86" s="6"/>
      <c r="BB86" s="6">
        <v>1</v>
      </c>
      <c r="BC86" s="6">
        <v>1</v>
      </c>
      <c r="BD86" s="6">
        <v>1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/>
      <c r="BK86" s="6"/>
      <c r="BL86" s="6">
        <v>0</v>
      </c>
      <c r="BM86" s="6">
        <v>0</v>
      </c>
      <c r="BN86" s="6">
        <v>0</v>
      </c>
      <c r="BO86" s="6">
        <v>1</v>
      </c>
      <c r="BP86" s="6">
        <v>0</v>
      </c>
      <c r="BQ86" s="6">
        <v>1</v>
      </c>
      <c r="BR86" s="6">
        <v>0</v>
      </c>
      <c r="BS86" s="11"/>
      <c r="BT86" s="11"/>
      <c r="BU86" s="6"/>
      <c r="BV86" s="6"/>
      <c r="BW86" s="6"/>
      <c r="BX86" s="6"/>
      <c r="BY86" s="6"/>
      <c r="BZ86" s="6"/>
      <c r="CA86" s="6"/>
      <c r="CB86" s="6"/>
    </row>
    <row r="87" spans="1:80" x14ac:dyDescent="0.25">
      <c r="A87" t="s">
        <v>90</v>
      </c>
      <c r="B87" s="3" t="s">
        <v>88</v>
      </c>
      <c r="C87" s="5">
        <v>-33505741</v>
      </c>
      <c r="D87" s="6">
        <v>-70624308</v>
      </c>
      <c r="E87" s="3" t="s">
        <v>199</v>
      </c>
      <c r="F87" s="5">
        <v>-33507618</v>
      </c>
      <c r="G87" s="5">
        <v>-7062254</v>
      </c>
      <c r="H87" s="5" t="s">
        <v>200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1</v>
      </c>
      <c r="O87" s="6">
        <v>1</v>
      </c>
      <c r="P87" s="6">
        <v>0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0</v>
      </c>
      <c r="W87" s="6">
        <v>1</v>
      </c>
      <c r="X87" s="6">
        <v>1</v>
      </c>
      <c r="Y87" s="6">
        <v>0</v>
      </c>
      <c r="Z87" s="6">
        <v>1</v>
      </c>
      <c r="AA87" s="6">
        <v>0</v>
      </c>
      <c r="AB87" s="6">
        <v>0</v>
      </c>
      <c r="AC87" s="6">
        <v>1</v>
      </c>
      <c r="AD87" s="6">
        <v>1</v>
      </c>
      <c r="AE87" s="6">
        <v>0</v>
      </c>
      <c r="AF87" s="6">
        <v>1</v>
      </c>
      <c r="AG87" s="6">
        <v>1</v>
      </c>
      <c r="AH87" s="6">
        <v>1</v>
      </c>
      <c r="AI87" s="6">
        <v>0</v>
      </c>
      <c r="AJ87" s="6">
        <v>0</v>
      </c>
      <c r="AK87" s="6"/>
      <c r="AL87" s="6"/>
      <c r="AM87" s="6">
        <v>1</v>
      </c>
      <c r="AN87" s="6">
        <v>1</v>
      </c>
      <c r="AO87" s="6">
        <v>1</v>
      </c>
      <c r="AP87" s="6">
        <v>1</v>
      </c>
      <c r="AQ87" s="6">
        <v>1</v>
      </c>
      <c r="AR87" s="6">
        <v>1</v>
      </c>
      <c r="AS87" s="6">
        <v>1</v>
      </c>
      <c r="AT87" s="6">
        <v>1</v>
      </c>
      <c r="AU87" s="6">
        <v>1</v>
      </c>
      <c r="AV87" s="6">
        <v>1</v>
      </c>
      <c r="AW87" s="6">
        <v>1</v>
      </c>
      <c r="AX87" s="6">
        <v>1</v>
      </c>
      <c r="AY87" s="6">
        <v>0</v>
      </c>
      <c r="AZ87" s="6"/>
      <c r="BA87" s="6"/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1</v>
      </c>
      <c r="BH87" s="6">
        <v>0</v>
      </c>
      <c r="BI87" s="6">
        <v>0</v>
      </c>
      <c r="BJ87" s="6"/>
      <c r="BK87" s="6"/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11"/>
      <c r="BT87" s="11"/>
      <c r="BU87" s="6"/>
      <c r="BV87" s="6"/>
      <c r="BW87" s="6"/>
      <c r="BX87" s="6"/>
      <c r="BY87" s="6"/>
      <c r="BZ87" s="6"/>
      <c r="CA87" s="6"/>
      <c r="CB87" s="6"/>
    </row>
    <row r="88" spans="1:80" x14ac:dyDescent="0.25">
      <c r="A88" t="s">
        <v>90</v>
      </c>
      <c r="B88" s="3" t="s">
        <v>88</v>
      </c>
      <c r="C88" s="5">
        <v>-33505741</v>
      </c>
      <c r="D88" s="6">
        <v>-70624308</v>
      </c>
      <c r="E88" s="3" t="s">
        <v>201</v>
      </c>
      <c r="F88" s="5">
        <v>-33508441</v>
      </c>
      <c r="G88" s="5">
        <v>-70623789</v>
      </c>
      <c r="H88" s="5" t="s">
        <v>202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1"/>
      <c r="BT88" s="11"/>
      <c r="BU88" s="6"/>
      <c r="BV88" s="6"/>
      <c r="BW88" s="6"/>
      <c r="BX88" s="6"/>
      <c r="BY88" s="6"/>
      <c r="BZ88" s="6"/>
      <c r="CA88" s="6"/>
      <c r="CB88" s="6"/>
    </row>
    <row r="89" spans="1:80" x14ac:dyDescent="0.25">
      <c r="A89" t="s">
        <v>90</v>
      </c>
      <c r="B89" s="3" t="s">
        <v>88</v>
      </c>
      <c r="C89" s="5">
        <v>-33505741</v>
      </c>
      <c r="D89" s="6">
        <v>-70624308</v>
      </c>
      <c r="E89" s="3" t="s">
        <v>203</v>
      </c>
      <c r="F89" s="5">
        <v>-33508720</v>
      </c>
      <c r="G89" s="5">
        <v>-70625533</v>
      </c>
      <c r="H89" s="5" t="s">
        <v>204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1"/>
      <c r="BT89" s="11"/>
      <c r="BU89" s="6"/>
      <c r="BV89" s="6"/>
      <c r="BW89" s="6"/>
      <c r="BX89" s="6"/>
      <c r="BY89" s="6"/>
      <c r="BZ89" s="6"/>
      <c r="CA89" s="6"/>
      <c r="CB89" s="6"/>
    </row>
    <row r="90" spans="1:80" x14ac:dyDescent="0.25">
      <c r="A90" t="s">
        <v>90</v>
      </c>
      <c r="B90" s="3" t="s">
        <v>88</v>
      </c>
      <c r="C90" s="5">
        <v>-33505741</v>
      </c>
      <c r="D90" s="6">
        <v>-70624308</v>
      </c>
      <c r="E90" s="3" t="s">
        <v>205</v>
      </c>
      <c r="F90" s="5">
        <v>-33507156</v>
      </c>
      <c r="G90" s="5">
        <v>-70626645</v>
      </c>
      <c r="H90" s="5" t="s">
        <v>96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1"/>
      <c r="BT90" s="11"/>
      <c r="BU90" s="6"/>
      <c r="BV90" s="6"/>
      <c r="BW90" s="6"/>
      <c r="BX90" s="6"/>
      <c r="BY90" s="6"/>
      <c r="BZ90" s="6"/>
      <c r="CA90" s="6"/>
      <c r="CB90" s="6"/>
    </row>
    <row r="91" spans="1:80" x14ac:dyDescent="0.25">
      <c r="A91" t="s">
        <v>90</v>
      </c>
      <c r="B91" s="3" t="s">
        <v>88</v>
      </c>
      <c r="C91" s="5">
        <v>-33505741</v>
      </c>
      <c r="D91" s="6">
        <v>-70624308</v>
      </c>
      <c r="E91" s="3" t="s">
        <v>206</v>
      </c>
      <c r="F91" s="5">
        <v>-33504929</v>
      </c>
      <c r="G91" s="5">
        <v>-70628042</v>
      </c>
      <c r="H91" s="5" t="s">
        <v>132</v>
      </c>
      <c r="I91" s="6">
        <v>1</v>
      </c>
      <c r="J91" s="6">
        <v>0</v>
      </c>
      <c r="K91" s="6">
        <v>0</v>
      </c>
      <c r="L91" s="6">
        <v>0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0</v>
      </c>
      <c r="Z91" s="6">
        <v>1</v>
      </c>
      <c r="AA91" s="6">
        <v>0</v>
      </c>
      <c r="AB91" s="6">
        <v>0</v>
      </c>
      <c r="AC91" s="6">
        <v>1</v>
      </c>
      <c r="AD91" s="6">
        <v>1</v>
      </c>
      <c r="AE91" s="6">
        <v>0</v>
      </c>
      <c r="AF91" s="6">
        <v>1</v>
      </c>
      <c r="AG91" s="6">
        <v>1</v>
      </c>
      <c r="AH91" s="6">
        <v>1</v>
      </c>
      <c r="AI91" s="6">
        <v>0</v>
      </c>
      <c r="AJ91" s="6">
        <v>0</v>
      </c>
      <c r="AK91" s="6"/>
      <c r="AL91" s="6"/>
      <c r="AM91" s="6">
        <v>1</v>
      </c>
      <c r="AN91" s="6">
        <v>1</v>
      </c>
      <c r="AO91" s="6">
        <v>1</v>
      </c>
      <c r="AP91" s="6">
        <v>1</v>
      </c>
      <c r="AQ91" s="6">
        <v>1</v>
      </c>
      <c r="AR91" s="6">
        <v>1</v>
      </c>
      <c r="AS91" s="6">
        <v>1</v>
      </c>
      <c r="AT91" s="6">
        <v>0</v>
      </c>
      <c r="AU91" s="6">
        <v>0</v>
      </c>
      <c r="AV91" s="6">
        <v>0</v>
      </c>
      <c r="AW91" s="6">
        <v>1</v>
      </c>
      <c r="AX91" s="6">
        <v>1</v>
      </c>
      <c r="AY91" s="6">
        <v>0</v>
      </c>
      <c r="AZ91" s="6"/>
      <c r="BA91" s="6"/>
      <c r="BB91" s="6">
        <v>0</v>
      </c>
      <c r="BC91" s="6">
        <v>0</v>
      </c>
      <c r="BD91" s="6">
        <v>1</v>
      </c>
      <c r="BE91" s="6">
        <v>1</v>
      </c>
      <c r="BF91" s="6">
        <v>0</v>
      </c>
      <c r="BG91" s="6">
        <v>0</v>
      </c>
      <c r="BH91" s="6">
        <v>0</v>
      </c>
      <c r="BI91" s="6">
        <v>0</v>
      </c>
      <c r="BJ91" s="6"/>
      <c r="BK91" s="6"/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11"/>
      <c r="BT91" s="11"/>
      <c r="BU91" s="6"/>
      <c r="BV91" s="6"/>
      <c r="BW91" s="6"/>
      <c r="BX91" s="6"/>
      <c r="BY91" s="6"/>
      <c r="BZ91" s="6"/>
      <c r="CA91" s="6"/>
      <c r="CB91" s="6"/>
    </row>
    <row r="92" spans="1:80" x14ac:dyDescent="0.25">
      <c r="A92" t="s">
        <v>90</v>
      </c>
      <c r="B92" s="3" t="s">
        <v>88</v>
      </c>
      <c r="C92" s="5">
        <v>-33505741</v>
      </c>
      <c r="D92" s="6">
        <v>-70624308</v>
      </c>
      <c r="E92" s="3" t="s">
        <v>207</v>
      </c>
      <c r="F92" s="5">
        <v>-335044842</v>
      </c>
      <c r="G92" s="5">
        <v>-70626754</v>
      </c>
      <c r="H92" s="5" t="s">
        <v>208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11"/>
      <c r="BT92" s="11"/>
      <c r="BU92" s="6"/>
      <c r="BV92" s="6"/>
      <c r="BW92" s="6"/>
      <c r="BX92" s="6"/>
      <c r="BY92" s="6"/>
      <c r="BZ92" s="6"/>
      <c r="CA92" s="6"/>
      <c r="CB92" s="6"/>
    </row>
    <row r="93" spans="1:80" x14ac:dyDescent="0.25">
      <c r="A93" t="s">
        <v>90</v>
      </c>
      <c r="B93" s="3" t="s">
        <v>88</v>
      </c>
      <c r="C93" s="5">
        <v>-33505741</v>
      </c>
      <c r="D93" s="6">
        <v>-70624308</v>
      </c>
      <c r="E93" s="3" t="s">
        <v>209</v>
      </c>
      <c r="F93" s="5">
        <v>-33504751</v>
      </c>
      <c r="G93" s="5">
        <v>-70626302</v>
      </c>
      <c r="H93" s="5" t="s">
        <v>210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1</v>
      </c>
      <c r="W93" s="6">
        <v>1</v>
      </c>
      <c r="X93" s="6">
        <v>1</v>
      </c>
      <c r="Y93" s="6">
        <v>0</v>
      </c>
      <c r="Z93" s="6">
        <v>0</v>
      </c>
      <c r="AA93" s="6">
        <v>0</v>
      </c>
      <c r="AB93" s="6">
        <v>0</v>
      </c>
      <c r="AC93" s="6">
        <v>1</v>
      </c>
      <c r="AD93" s="6">
        <v>1</v>
      </c>
      <c r="AE93" s="6">
        <v>0</v>
      </c>
      <c r="AF93" s="6">
        <v>1</v>
      </c>
      <c r="AG93" s="6">
        <v>1</v>
      </c>
      <c r="AH93" s="6">
        <v>1</v>
      </c>
      <c r="AI93" s="6">
        <v>0</v>
      </c>
      <c r="AJ93" s="6">
        <v>0</v>
      </c>
      <c r="AK93" s="6"/>
      <c r="AL93" s="6"/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1</v>
      </c>
      <c r="AX93" s="6">
        <v>1</v>
      </c>
      <c r="AY93" s="6">
        <v>0</v>
      </c>
      <c r="AZ93" s="6"/>
      <c r="BA93" s="6"/>
      <c r="BB93" s="6">
        <v>0</v>
      </c>
      <c r="BC93" s="6">
        <v>0</v>
      </c>
      <c r="BD93" s="6">
        <v>0</v>
      </c>
      <c r="BE93" s="6">
        <v>0</v>
      </c>
      <c r="BF93" s="6">
        <v>1</v>
      </c>
      <c r="BG93" s="6">
        <v>0</v>
      </c>
      <c r="BH93" s="6">
        <v>0</v>
      </c>
      <c r="BI93" s="6">
        <v>0</v>
      </c>
      <c r="BJ93" s="6"/>
      <c r="BK93" s="6"/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11"/>
      <c r="BT93" s="11"/>
      <c r="BU93" s="6"/>
      <c r="BV93" s="6"/>
      <c r="BW93" s="6"/>
      <c r="BX93" s="6"/>
      <c r="BY93" s="6"/>
      <c r="BZ93" s="6"/>
      <c r="CA93" s="6"/>
      <c r="CB93" s="6"/>
    </row>
    <row r="94" spans="1:80" x14ac:dyDescent="0.25">
      <c r="A94" t="s">
        <v>90</v>
      </c>
      <c r="B94" s="3" t="s">
        <v>88</v>
      </c>
      <c r="C94" s="5">
        <v>-33505741</v>
      </c>
      <c r="D94" s="6">
        <v>-70624308</v>
      </c>
      <c r="E94" s="3" t="s">
        <v>211</v>
      </c>
      <c r="F94" s="5">
        <v>-33504553</v>
      </c>
      <c r="G94" s="5">
        <v>-70626488</v>
      </c>
      <c r="H94" s="5" t="s">
        <v>94</v>
      </c>
      <c r="I94" s="6">
        <v>1</v>
      </c>
      <c r="J94" s="6">
        <v>0</v>
      </c>
      <c r="K94" s="6">
        <v>0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0</v>
      </c>
      <c r="W94" s="6">
        <v>1</v>
      </c>
      <c r="X94" s="6">
        <v>1</v>
      </c>
      <c r="Y94" s="6">
        <v>0</v>
      </c>
      <c r="Z94" s="6">
        <v>1</v>
      </c>
      <c r="AA94" s="6">
        <v>0</v>
      </c>
      <c r="AB94" s="6">
        <v>0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0</v>
      </c>
      <c r="AJ94" s="6">
        <v>0</v>
      </c>
      <c r="AK94" s="6"/>
      <c r="AL94" s="6"/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0</v>
      </c>
      <c r="AS94" s="6">
        <v>1</v>
      </c>
      <c r="AT94" s="6">
        <v>0</v>
      </c>
      <c r="AU94" s="6">
        <v>0</v>
      </c>
      <c r="AV94" s="6">
        <v>0</v>
      </c>
      <c r="AW94" s="6">
        <v>1</v>
      </c>
      <c r="AX94" s="6">
        <v>1</v>
      </c>
      <c r="AY94" s="6">
        <v>1</v>
      </c>
      <c r="AZ94" s="6"/>
      <c r="BA94" s="6"/>
      <c r="BB94" s="6">
        <v>1</v>
      </c>
      <c r="BC94" s="6">
        <v>1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/>
      <c r="BK94" s="6"/>
      <c r="BL94" s="6">
        <v>0</v>
      </c>
      <c r="BM94" s="6">
        <v>0</v>
      </c>
      <c r="BN94" s="6">
        <v>0</v>
      </c>
      <c r="BO94" s="6">
        <v>1</v>
      </c>
      <c r="BP94" s="6">
        <v>0</v>
      </c>
      <c r="BQ94" s="6">
        <v>1</v>
      </c>
      <c r="BR94" s="6">
        <v>0</v>
      </c>
      <c r="BS94" s="11"/>
      <c r="BT94" s="11"/>
      <c r="BU94" s="6"/>
      <c r="BV94" s="6"/>
      <c r="BW94" s="6"/>
      <c r="BX94" s="6"/>
      <c r="BY94" s="6"/>
      <c r="BZ94" s="6"/>
      <c r="CA94" s="6"/>
      <c r="CB94" s="6"/>
    </row>
    <row r="95" spans="1:80" x14ac:dyDescent="0.25">
      <c r="A95" t="s">
        <v>90</v>
      </c>
      <c r="B95" s="3" t="s">
        <v>88</v>
      </c>
      <c r="C95" s="5">
        <v>-33505741</v>
      </c>
      <c r="D95" s="6">
        <v>-70624308</v>
      </c>
      <c r="E95" s="3" t="s">
        <v>212</v>
      </c>
      <c r="F95" s="5">
        <v>-33504390</v>
      </c>
      <c r="G95" s="5">
        <v>-70626537</v>
      </c>
      <c r="H95" s="5" t="s">
        <v>96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1"/>
      <c r="BT95" s="11"/>
      <c r="BU95" s="6"/>
      <c r="BV95" s="6"/>
      <c r="BW95" s="6"/>
      <c r="BX95" s="6"/>
      <c r="BY95" s="6"/>
      <c r="BZ95" s="6"/>
      <c r="CA95" s="6"/>
      <c r="CB95" s="6"/>
    </row>
    <row r="96" spans="1:80" x14ac:dyDescent="0.25">
      <c r="A96" t="s">
        <v>90</v>
      </c>
      <c r="B96" s="3" t="s">
        <v>88</v>
      </c>
      <c r="C96" s="5">
        <v>-33505741</v>
      </c>
      <c r="D96" s="6">
        <v>-70624308</v>
      </c>
      <c r="E96" s="3" t="s">
        <v>213</v>
      </c>
      <c r="F96" s="5">
        <v>-33504352</v>
      </c>
      <c r="G96" s="5">
        <v>-70626474</v>
      </c>
      <c r="H96" s="5" t="s">
        <v>94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1"/>
      <c r="BT96" s="11"/>
      <c r="BU96" s="6"/>
      <c r="BV96" s="6"/>
      <c r="BW96" s="6"/>
      <c r="BX96" s="6"/>
      <c r="BY96" s="6"/>
      <c r="BZ96" s="6"/>
      <c r="CA96" s="6"/>
      <c r="CB96" s="6"/>
    </row>
    <row r="97" spans="1:80" x14ac:dyDescent="0.25">
      <c r="A97" t="s">
        <v>90</v>
      </c>
      <c r="B97" s="3" t="s">
        <v>88</v>
      </c>
      <c r="C97" s="5">
        <v>-33505741</v>
      </c>
      <c r="D97" s="6">
        <v>-70624308</v>
      </c>
      <c r="E97" s="3" t="s">
        <v>214</v>
      </c>
      <c r="F97" s="5">
        <v>-33503698</v>
      </c>
      <c r="G97" s="5">
        <v>-70626652</v>
      </c>
      <c r="H97" s="5" t="s">
        <v>96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1"/>
      <c r="BT97" s="11"/>
      <c r="BU97" s="6"/>
      <c r="BV97" s="6"/>
      <c r="BW97" s="6"/>
      <c r="BX97" s="6"/>
      <c r="BY97" s="6"/>
      <c r="BZ97" s="6"/>
      <c r="CA97" s="6"/>
      <c r="CB97" s="6"/>
    </row>
    <row r="98" spans="1:80" x14ac:dyDescent="0.25">
      <c r="A98" t="s">
        <v>90</v>
      </c>
      <c r="B98" s="3" t="s">
        <v>88</v>
      </c>
      <c r="C98" s="5">
        <v>-33505741</v>
      </c>
      <c r="D98" s="6">
        <v>-70624308</v>
      </c>
      <c r="E98" s="3" t="s">
        <v>215</v>
      </c>
      <c r="F98" s="5">
        <v>-33502629</v>
      </c>
      <c r="G98" s="5">
        <v>-70624106</v>
      </c>
      <c r="H98" s="5" t="s">
        <v>94</v>
      </c>
      <c r="I98" s="6">
        <v>1</v>
      </c>
      <c r="J98" s="6">
        <v>0</v>
      </c>
      <c r="K98" s="6">
        <v>0</v>
      </c>
      <c r="L98" s="6">
        <v>0</v>
      </c>
      <c r="M98" s="6">
        <v>1</v>
      </c>
      <c r="N98" s="6">
        <v>1</v>
      </c>
      <c r="O98" s="6">
        <v>1</v>
      </c>
      <c r="P98" s="6">
        <v>0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0</v>
      </c>
      <c r="W98" s="6">
        <v>1</v>
      </c>
      <c r="X98" s="6">
        <v>1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0</v>
      </c>
      <c r="AJ98" s="6">
        <v>0</v>
      </c>
      <c r="AK98" s="6"/>
      <c r="AL98" s="6"/>
      <c r="AM98" s="6">
        <v>1</v>
      </c>
      <c r="AN98" s="6">
        <v>1</v>
      </c>
      <c r="AO98" s="6">
        <v>1</v>
      </c>
      <c r="AP98" s="6">
        <v>1</v>
      </c>
      <c r="AQ98" s="6">
        <v>1</v>
      </c>
      <c r="AR98" s="6">
        <v>0</v>
      </c>
      <c r="AS98" s="6">
        <v>1</v>
      </c>
      <c r="AT98" s="6">
        <v>0</v>
      </c>
      <c r="AU98" s="6">
        <v>0</v>
      </c>
      <c r="AV98" s="6">
        <v>0</v>
      </c>
      <c r="AW98" s="6">
        <v>1</v>
      </c>
      <c r="AX98" s="6">
        <v>1</v>
      </c>
      <c r="AY98" s="6">
        <v>0</v>
      </c>
      <c r="AZ98" s="6"/>
      <c r="BA98" s="6"/>
      <c r="BB98" s="6">
        <v>0</v>
      </c>
      <c r="BC98" s="6">
        <v>0</v>
      </c>
      <c r="BD98" s="6">
        <v>1</v>
      </c>
      <c r="BE98" s="6">
        <v>0</v>
      </c>
      <c r="BF98" s="6">
        <v>0</v>
      </c>
      <c r="BG98" s="6">
        <v>0</v>
      </c>
      <c r="BH98" s="6">
        <v>0</v>
      </c>
      <c r="BI98" s="6">
        <v>1</v>
      </c>
      <c r="BJ98" s="6"/>
      <c r="BK98" s="6"/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11"/>
      <c r="BT98" s="11"/>
      <c r="BU98" s="6"/>
      <c r="BV98" s="6"/>
      <c r="BW98" s="6"/>
      <c r="BX98" s="6"/>
      <c r="BY98" s="6"/>
      <c r="BZ98" s="6"/>
      <c r="CA98" s="6"/>
      <c r="CB98" s="6"/>
    </row>
    <row r="99" spans="1:80" x14ac:dyDescent="0.25">
      <c r="A99" t="s">
        <v>90</v>
      </c>
      <c r="B99" s="3" t="s">
        <v>88</v>
      </c>
      <c r="C99" s="5">
        <v>-33505741</v>
      </c>
      <c r="D99" s="6">
        <v>-70624308</v>
      </c>
      <c r="E99" s="3" t="s">
        <v>216</v>
      </c>
      <c r="F99" s="5">
        <v>-33502382</v>
      </c>
      <c r="G99" s="5">
        <v>-70624126</v>
      </c>
      <c r="H99" s="5" t="s">
        <v>94</v>
      </c>
      <c r="I99" s="6">
        <v>0</v>
      </c>
      <c r="J99" s="6">
        <v>0</v>
      </c>
      <c r="K99" s="6">
        <v>0</v>
      </c>
      <c r="L99" s="6">
        <v>1</v>
      </c>
      <c r="M99" s="6">
        <v>1</v>
      </c>
      <c r="N99" s="6">
        <v>1</v>
      </c>
      <c r="O99" s="6">
        <v>1</v>
      </c>
      <c r="P99" s="6">
        <v>0</v>
      </c>
      <c r="Q99" s="6">
        <v>1</v>
      </c>
      <c r="R99" s="6">
        <v>1</v>
      </c>
      <c r="S99" s="6">
        <v>1</v>
      </c>
      <c r="T99" s="6">
        <v>0</v>
      </c>
      <c r="U99" s="6">
        <v>1</v>
      </c>
      <c r="V99" s="6">
        <v>0</v>
      </c>
      <c r="W99" s="6">
        <v>0</v>
      </c>
      <c r="X99" s="6">
        <v>1</v>
      </c>
      <c r="Y99" s="6">
        <v>0</v>
      </c>
      <c r="Z99" s="6">
        <v>1</v>
      </c>
      <c r="AA99" s="6">
        <v>0</v>
      </c>
      <c r="AB99" s="6">
        <v>0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0</v>
      </c>
      <c r="AJ99" s="6">
        <v>0</v>
      </c>
      <c r="AK99" s="6"/>
      <c r="AL99" s="6"/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0</v>
      </c>
      <c r="AS99" s="6">
        <v>1</v>
      </c>
      <c r="AT99" s="6">
        <v>0</v>
      </c>
      <c r="AU99" s="6">
        <v>0</v>
      </c>
      <c r="AV99" s="6">
        <v>0</v>
      </c>
      <c r="AW99" s="6">
        <v>1</v>
      </c>
      <c r="AX99" s="6">
        <v>1</v>
      </c>
      <c r="AY99" s="6">
        <v>1</v>
      </c>
      <c r="AZ99" s="6"/>
      <c r="BA99" s="6"/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1</v>
      </c>
      <c r="BJ99" s="6"/>
      <c r="BK99" s="6"/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11"/>
      <c r="BT99" s="11"/>
      <c r="BU99" s="6"/>
      <c r="BV99" s="6"/>
      <c r="BW99" s="6"/>
      <c r="BX99" s="6"/>
      <c r="BY99" s="6"/>
      <c r="BZ99" s="6"/>
      <c r="CA99" s="6"/>
      <c r="CB99" s="6"/>
    </row>
    <row r="100" spans="1:80" x14ac:dyDescent="0.25">
      <c r="A100" t="s">
        <v>90</v>
      </c>
      <c r="B100" s="3" t="s">
        <v>88</v>
      </c>
      <c r="C100" s="5">
        <v>-33505741</v>
      </c>
      <c r="D100" s="6">
        <v>-70624308</v>
      </c>
      <c r="E100" s="3" t="s">
        <v>217</v>
      </c>
      <c r="F100" s="5">
        <v>-33503410</v>
      </c>
      <c r="G100" s="5">
        <v>-70624063</v>
      </c>
      <c r="H100" s="5" t="s">
        <v>132</v>
      </c>
      <c r="I100" s="6">
        <v>1</v>
      </c>
      <c r="J100" s="6">
        <v>0</v>
      </c>
      <c r="K100" s="6">
        <v>0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0</v>
      </c>
      <c r="W100" s="6">
        <v>1</v>
      </c>
      <c r="X100" s="6">
        <v>1</v>
      </c>
      <c r="Y100" s="6">
        <v>0</v>
      </c>
      <c r="Z100" s="6">
        <v>1</v>
      </c>
      <c r="AA100" s="6">
        <v>0</v>
      </c>
      <c r="AB100" s="6">
        <v>0</v>
      </c>
      <c r="AC100" s="6">
        <v>1</v>
      </c>
      <c r="AD100" s="6">
        <v>1</v>
      </c>
      <c r="AE100" s="6">
        <v>0</v>
      </c>
      <c r="AF100" s="6">
        <v>1</v>
      </c>
      <c r="AG100" s="6">
        <v>1</v>
      </c>
      <c r="AH100" s="6">
        <v>1</v>
      </c>
      <c r="AI100" s="6">
        <v>0</v>
      </c>
      <c r="AJ100" s="6">
        <v>0</v>
      </c>
      <c r="AK100" s="6"/>
      <c r="AL100" s="6"/>
      <c r="AM100" s="6">
        <v>1</v>
      </c>
      <c r="AN100" s="6">
        <v>1</v>
      </c>
      <c r="AO100" s="6">
        <v>1</v>
      </c>
      <c r="AP100" s="6">
        <v>1</v>
      </c>
      <c r="AQ100" s="6">
        <v>1</v>
      </c>
      <c r="AR100" s="6">
        <v>0</v>
      </c>
      <c r="AS100" s="6">
        <v>1</v>
      </c>
      <c r="AT100" s="6">
        <v>0</v>
      </c>
      <c r="AU100" s="6">
        <v>0</v>
      </c>
      <c r="AV100" s="6">
        <v>0</v>
      </c>
      <c r="AW100" s="6">
        <v>1</v>
      </c>
      <c r="AX100" s="6">
        <v>1</v>
      </c>
      <c r="AY100" s="6">
        <v>0</v>
      </c>
      <c r="AZ100" s="6"/>
      <c r="BA100" s="6"/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1</v>
      </c>
      <c r="BJ100" s="6"/>
      <c r="BK100" s="6"/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11"/>
      <c r="BT100" s="11"/>
      <c r="BU100" s="6"/>
      <c r="BV100" s="6"/>
      <c r="BW100" s="6"/>
      <c r="BX100" s="6"/>
      <c r="BY100" s="6"/>
      <c r="BZ100" s="6"/>
      <c r="CA100" s="6"/>
      <c r="CB100" s="6"/>
    </row>
    <row r="101" spans="1:80" x14ac:dyDescent="0.25">
      <c r="A101" t="s">
        <v>90</v>
      </c>
      <c r="B101" s="3" t="s">
        <v>88</v>
      </c>
      <c r="C101" s="5">
        <v>-33505741</v>
      </c>
      <c r="D101" s="6">
        <v>-70624308</v>
      </c>
      <c r="E101" s="3" t="s">
        <v>218</v>
      </c>
      <c r="F101" s="5">
        <v>-33504061</v>
      </c>
      <c r="G101" s="5">
        <v>-70621908</v>
      </c>
      <c r="H101" s="5" t="s">
        <v>96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1"/>
      <c r="BT101" s="11"/>
      <c r="BU101" s="6"/>
      <c r="BV101" s="6"/>
      <c r="BW101" s="6"/>
      <c r="BX101" s="6"/>
      <c r="BY101" s="6"/>
      <c r="BZ101" s="6"/>
      <c r="CA101" s="6"/>
      <c r="CB101" s="6"/>
    </row>
    <row r="102" spans="1:80" x14ac:dyDescent="0.25">
      <c r="A102" t="s">
        <v>90</v>
      </c>
      <c r="B102" s="3" t="s">
        <v>88</v>
      </c>
      <c r="C102" s="5">
        <v>-33505741</v>
      </c>
      <c r="D102" s="6">
        <v>-70624308</v>
      </c>
      <c r="E102" s="3" t="s">
        <v>219</v>
      </c>
      <c r="F102" s="5">
        <v>-33505769</v>
      </c>
      <c r="G102" s="5">
        <v>-70623535</v>
      </c>
      <c r="H102" s="5" t="s">
        <v>220</v>
      </c>
      <c r="I102" s="6">
        <v>1</v>
      </c>
      <c r="J102" s="6">
        <v>0</v>
      </c>
      <c r="K102" s="6">
        <v>0</v>
      </c>
      <c r="L102" s="6">
        <v>0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0</v>
      </c>
      <c r="W102" s="6">
        <v>1</v>
      </c>
      <c r="X102" s="6">
        <v>1</v>
      </c>
      <c r="Y102" s="6">
        <v>1</v>
      </c>
      <c r="Z102" s="6">
        <v>1</v>
      </c>
      <c r="AA102" s="6">
        <v>0</v>
      </c>
      <c r="AB102" s="6">
        <v>0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0</v>
      </c>
      <c r="AJ102" s="6">
        <v>0</v>
      </c>
      <c r="AK102" s="6"/>
      <c r="AL102" s="6"/>
      <c r="AM102" s="6">
        <v>1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0</v>
      </c>
      <c r="AT102" s="6">
        <v>0</v>
      </c>
      <c r="AU102" s="6">
        <v>0</v>
      </c>
      <c r="AV102" s="6">
        <v>0</v>
      </c>
      <c r="AW102" s="6">
        <v>1</v>
      </c>
      <c r="AX102" s="6">
        <v>1</v>
      </c>
      <c r="AY102" s="6">
        <v>0</v>
      </c>
      <c r="AZ102" s="6"/>
      <c r="BA102" s="6"/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/>
      <c r="BK102" s="6"/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11"/>
      <c r="BT102" s="11"/>
      <c r="BU102" s="6"/>
      <c r="BV102" s="6"/>
      <c r="BW102" s="6"/>
      <c r="BX102" s="6"/>
      <c r="BY102" s="6"/>
      <c r="BZ102" s="6"/>
      <c r="CA102" s="6"/>
      <c r="CB102" s="6"/>
    </row>
    <row r="103" spans="1:80" x14ac:dyDescent="0.25">
      <c r="A103" t="s">
        <v>90</v>
      </c>
      <c r="B103" s="3" t="s">
        <v>88</v>
      </c>
      <c r="C103" s="5">
        <v>-33505741</v>
      </c>
      <c r="D103" s="6">
        <v>-70624308</v>
      </c>
      <c r="E103" s="3" t="s">
        <v>221</v>
      </c>
      <c r="F103" s="5">
        <v>-33505099</v>
      </c>
      <c r="G103" s="5">
        <v>-70623798</v>
      </c>
      <c r="H103" s="5" t="s">
        <v>94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1</v>
      </c>
      <c r="AD103" s="6">
        <v>1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/>
      <c r="AL103" s="6"/>
      <c r="AM103" s="6">
        <v>1</v>
      </c>
      <c r="AN103" s="6">
        <v>1</v>
      </c>
      <c r="AO103" s="6">
        <v>0</v>
      </c>
      <c r="AP103" s="6">
        <v>1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1</v>
      </c>
      <c r="AX103" s="6">
        <v>1</v>
      </c>
      <c r="AY103" s="6">
        <v>0</v>
      </c>
      <c r="AZ103" s="6"/>
      <c r="BA103" s="6"/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/>
      <c r="BK103" s="6"/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11"/>
      <c r="BT103" s="11"/>
      <c r="BU103" s="6"/>
      <c r="BV103" s="6"/>
      <c r="BW103" s="6"/>
      <c r="BX103" s="6"/>
      <c r="BY103" s="6"/>
      <c r="BZ103" s="6"/>
      <c r="CA103" s="6"/>
      <c r="CB103" s="6"/>
    </row>
    <row r="104" spans="1:80" x14ac:dyDescent="0.25">
      <c r="A104" t="s">
        <v>90</v>
      </c>
      <c r="B104" s="3" t="s">
        <v>88</v>
      </c>
      <c r="C104" s="5">
        <v>-33505741</v>
      </c>
      <c r="D104" s="6">
        <v>-70624308</v>
      </c>
      <c r="E104" s="3" t="s">
        <v>222</v>
      </c>
      <c r="F104" s="5">
        <v>-33506861</v>
      </c>
      <c r="G104" s="5">
        <v>-70625362</v>
      </c>
      <c r="H104" s="5" t="s">
        <v>94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1</v>
      </c>
      <c r="O104" s="6">
        <v>1</v>
      </c>
      <c r="P104" s="6">
        <v>0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0</v>
      </c>
      <c r="W104" s="6">
        <v>1</v>
      </c>
      <c r="X104" s="6">
        <v>1</v>
      </c>
      <c r="Y104" s="6">
        <v>0</v>
      </c>
      <c r="Z104" s="6">
        <v>1</v>
      </c>
      <c r="AA104" s="6">
        <v>0</v>
      </c>
      <c r="AB104" s="6">
        <v>0</v>
      </c>
      <c r="AC104" s="6">
        <v>1</v>
      </c>
      <c r="AD104" s="6">
        <v>1</v>
      </c>
      <c r="AE104" s="6">
        <v>1</v>
      </c>
      <c r="AF104" s="6">
        <v>1</v>
      </c>
      <c r="AG104" s="6">
        <v>1</v>
      </c>
      <c r="AH104" s="6">
        <v>1</v>
      </c>
      <c r="AI104" s="6">
        <v>0</v>
      </c>
      <c r="AJ104" s="6">
        <v>0</v>
      </c>
      <c r="AK104" s="6"/>
      <c r="AL104" s="6"/>
      <c r="AM104" s="6">
        <v>1</v>
      </c>
      <c r="AN104" s="6">
        <v>1</v>
      </c>
      <c r="AO104" s="6">
        <v>1</v>
      </c>
      <c r="AP104" s="6">
        <v>1</v>
      </c>
      <c r="AQ104" s="6">
        <v>1</v>
      </c>
      <c r="AR104" s="6">
        <v>1</v>
      </c>
      <c r="AS104" s="6">
        <v>1</v>
      </c>
      <c r="AT104" s="6">
        <v>0</v>
      </c>
      <c r="AU104" s="6">
        <v>0</v>
      </c>
      <c r="AV104" s="6">
        <v>0</v>
      </c>
      <c r="AW104" s="6">
        <v>1</v>
      </c>
      <c r="AX104" s="6">
        <v>1</v>
      </c>
      <c r="AY104" s="6">
        <v>1</v>
      </c>
      <c r="AZ104" s="6"/>
      <c r="BA104" s="6"/>
      <c r="BB104" s="6">
        <v>0</v>
      </c>
      <c r="BC104" s="6">
        <v>0</v>
      </c>
      <c r="BD104" s="6">
        <v>0</v>
      </c>
      <c r="BE104" s="6">
        <v>1</v>
      </c>
      <c r="BF104" s="6">
        <v>0</v>
      </c>
      <c r="BG104" s="6">
        <v>0</v>
      </c>
      <c r="BH104" s="6">
        <v>0</v>
      </c>
      <c r="BI104" s="6">
        <v>0</v>
      </c>
      <c r="BJ104" s="6"/>
      <c r="BK104" s="6"/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11"/>
      <c r="BT104" s="11"/>
      <c r="BU104" s="6"/>
      <c r="BV104" s="6"/>
      <c r="BW104" s="6"/>
      <c r="BX104" s="6"/>
      <c r="BY104" s="6"/>
      <c r="BZ104" s="6"/>
      <c r="CA104" s="6"/>
      <c r="CB104" s="6"/>
    </row>
    <row r="105" spans="1:80" x14ac:dyDescent="0.25">
      <c r="A105" t="s">
        <v>90</v>
      </c>
      <c r="B105" s="3" t="s">
        <v>88</v>
      </c>
      <c r="C105" s="5">
        <v>-33505741</v>
      </c>
      <c r="D105" s="6">
        <v>-70624308</v>
      </c>
      <c r="E105" s="3" t="s">
        <v>223</v>
      </c>
      <c r="F105" s="5">
        <v>-33506944</v>
      </c>
      <c r="G105" s="5">
        <v>-70626042</v>
      </c>
      <c r="H105" s="5" t="s">
        <v>132</v>
      </c>
      <c r="I105" s="6">
        <v>1</v>
      </c>
      <c r="J105" s="6">
        <v>0</v>
      </c>
      <c r="K105" s="6">
        <v>0</v>
      </c>
      <c r="L105" s="6">
        <v>1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1</v>
      </c>
      <c r="V105" s="6">
        <v>0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</v>
      </c>
      <c r="AD105" s="6">
        <v>1</v>
      </c>
      <c r="AE105" s="6">
        <v>0</v>
      </c>
      <c r="AF105" s="6">
        <v>1</v>
      </c>
      <c r="AG105" s="6">
        <v>1</v>
      </c>
      <c r="AH105" s="6">
        <v>1</v>
      </c>
      <c r="AI105" s="6">
        <v>0</v>
      </c>
      <c r="AJ105" s="6">
        <v>0</v>
      </c>
      <c r="AK105" s="6"/>
      <c r="AL105" s="6"/>
      <c r="AM105" s="6">
        <v>1</v>
      </c>
      <c r="AN105" s="6">
        <v>1</v>
      </c>
      <c r="AO105" s="6">
        <v>0</v>
      </c>
      <c r="AP105" s="6">
        <v>1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1</v>
      </c>
      <c r="AX105" s="6">
        <v>1</v>
      </c>
      <c r="AY105" s="6">
        <v>0</v>
      </c>
      <c r="AZ105" s="6"/>
      <c r="BA105" s="6"/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/>
      <c r="BK105" s="6"/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11"/>
      <c r="BT105" s="11"/>
      <c r="BU105" s="6"/>
      <c r="BV105" s="6"/>
      <c r="BW105" s="6"/>
      <c r="BX105" s="6"/>
      <c r="BY105" s="6"/>
      <c r="BZ105" s="6"/>
      <c r="CA105" s="6"/>
      <c r="CB105" s="6"/>
    </row>
    <row r="106" spans="1:80" x14ac:dyDescent="0.25">
      <c r="A106" t="s">
        <v>90</v>
      </c>
      <c r="B106" s="3" t="s">
        <v>89</v>
      </c>
      <c r="C106" s="9">
        <v>-33489947</v>
      </c>
      <c r="D106" s="6">
        <v>-70632479</v>
      </c>
      <c r="E106" s="3" t="s">
        <v>224</v>
      </c>
      <c r="F106" s="5">
        <v>-33490198</v>
      </c>
      <c r="G106" s="5">
        <v>-70631170</v>
      </c>
      <c r="H106" s="5" t="s">
        <v>225</v>
      </c>
      <c r="I106" s="6">
        <v>1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0</v>
      </c>
      <c r="Q106" s="6">
        <v>1</v>
      </c>
      <c r="R106" s="6">
        <v>0</v>
      </c>
      <c r="S106" s="6">
        <v>0</v>
      </c>
      <c r="T106" s="6">
        <v>1</v>
      </c>
      <c r="U106" s="6">
        <v>0</v>
      </c>
      <c r="V106" s="6">
        <v>1</v>
      </c>
      <c r="W106" s="6">
        <v>1</v>
      </c>
      <c r="X106" s="6">
        <v>1</v>
      </c>
      <c r="Y106" s="6">
        <v>0</v>
      </c>
      <c r="Z106" s="6">
        <v>1</v>
      </c>
      <c r="AA106" s="6">
        <v>0</v>
      </c>
      <c r="AB106" s="6">
        <v>0</v>
      </c>
      <c r="AC106" s="6">
        <v>1</v>
      </c>
      <c r="AD106" s="6">
        <v>0</v>
      </c>
      <c r="AE106" s="6">
        <v>1</v>
      </c>
      <c r="AF106" s="6">
        <v>1</v>
      </c>
      <c r="AG106" s="6">
        <v>0</v>
      </c>
      <c r="AH106" s="6">
        <v>1</v>
      </c>
      <c r="AI106" s="6">
        <v>0</v>
      </c>
      <c r="AJ106" s="6">
        <v>1</v>
      </c>
      <c r="AK106" s="6"/>
      <c r="AL106" s="6"/>
      <c r="AM106" s="6">
        <v>1</v>
      </c>
      <c r="AN106" s="6">
        <v>1</v>
      </c>
      <c r="AO106" s="6">
        <v>0</v>
      </c>
      <c r="AP106" s="6">
        <v>1</v>
      </c>
      <c r="AQ106" s="6">
        <v>1</v>
      </c>
      <c r="AR106" s="6">
        <v>1</v>
      </c>
      <c r="AS106" s="6">
        <v>0</v>
      </c>
      <c r="AT106" s="6">
        <v>1</v>
      </c>
      <c r="AU106" s="6">
        <v>1</v>
      </c>
      <c r="AV106" s="6">
        <v>1</v>
      </c>
      <c r="AW106" s="6">
        <v>1</v>
      </c>
      <c r="AX106" s="6">
        <v>1</v>
      </c>
      <c r="AY106" s="6">
        <v>1</v>
      </c>
      <c r="AZ106" s="6"/>
      <c r="BA106" s="6"/>
      <c r="BB106" s="6">
        <v>1</v>
      </c>
      <c r="BC106" s="6">
        <v>1</v>
      </c>
      <c r="BD106" s="6">
        <v>0</v>
      </c>
      <c r="BE106" s="6">
        <v>0</v>
      </c>
      <c r="BF106" s="6">
        <v>1</v>
      </c>
      <c r="BG106" s="6">
        <v>0</v>
      </c>
      <c r="BH106" s="6">
        <v>0</v>
      </c>
      <c r="BI106" s="6">
        <v>0</v>
      </c>
      <c r="BJ106" s="6"/>
      <c r="BK106" s="6"/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11"/>
      <c r="BT106" s="11"/>
      <c r="BU106" s="6"/>
      <c r="BV106" s="6"/>
      <c r="BW106" s="6"/>
      <c r="BX106" s="6"/>
      <c r="BY106" s="6"/>
      <c r="BZ106" s="6"/>
      <c r="CA106" s="6"/>
      <c r="CB106" s="6"/>
    </row>
    <row r="107" spans="1:80" x14ac:dyDescent="0.25">
      <c r="A107" t="s">
        <v>90</v>
      </c>
      <c r="B107" s="3" t="s">
        <v>89</v>
      </c>
      <c r="C107" s="9">
        <v>-33489947</v>
      </c>
      <c r="D107" s="6">
        <v>-70632479</v>
      </c>
      <c r="E107" s="3" t="s">
        <v>226</v>
      </c>
      <c r="F107" s="5">
        <v>-33490306</v>
      </c>
      <c r="G107" s="5">
        <v>-70628499</v>
      </c>
      <c r="H107" s="5" t="s">
        <v>94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11"/>
      <c r="BT107" s="11"/>
      <c r="BU107" s="6"/>
      <c r="BV107" s="6"/>
      <c r="BW107" s="6"/>
      <c r="BX107" s="6"/>
      <c r="BY107" s="6"/>
      <c r="BZ107" s="6"/>
      <c r="CA107" s="6"/>
      <c r="CB107" s="6"/>
    </row>
    <row r="108" spans="1:80" x14ac:dyDescent="0.25">
      <c r="A108" t="s">
        <v>90</v>
      </c>
      <c r="B108" s="3" t="s">
        <v>89</v>
      </c>
      <c r="C108" s="9">
        <v>-33489947</v>
      </c>
      <c r="D108" s="6">
        <v>-70632479</v>
      </c>
      <c r="E108" s="3" t="s">
        <v>227</v>
      </c>
      <c r="F108" s="5">
        <v>-33488913</v>
      </c>
      <c r="G108" s="5">
        <v>-70628144</v>
      </c>
      <c r="H108" s="5" t="s">
        <v>220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1"/>
      <c r="BT108" s="11"/>
      <c r="BU108" s="6"/>
      <c r="BV108" s="6"/>
      <c r="BW108" s="6"/>
      <c r="BX108" s="6"/>
      <c r="BY108" s="6"/>
      <c r="BZ108" s="6"/>
      <c r="CA108" s="6"/>
      <c r="CB108" s="6"/>
    </row>
    <row r="109" spans="1:80" x14ac:dyDescent="0.25">
      <c r="A109" t="s">
        <v>90</v>
      </c>
      <c r="B109" s="3" t="s">
        <v>89</v>
      </c>
      <c r="C109" s="9">
        <v>-33489947</v>
      </c>
      <c r="D109" s="6">
        <v>-70632479</v>
      </c>
      <c r="E109" s="3" t="s">
        <v>228</v>
      </c>
      <c r="F109" s="5">
        <v>-33488618</v>
      </c>
      <c r="G109" s="5">
        <v>-70628359</v>
      </c>
      <c r="H109" s="5" t="s">
        <v>94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1"/>
      <c r="BT109" s="11"/>
      <c r="BU109" s="6"/>
      <c r="BV109" s="6"/>
      <c r="BW109" s="6"/>
      <c r="BX109" s="6"/>
      <c r="BY109" s="6"/>
      <c r="BZ109" s="6"/>
      <c r="CA109" s="6"/>
      <c r="CB109" s="6"/>
    </row>
    <row r="110" spans="1:80" x14ac:dyDescent="0.25">
      <c r="A110" t="s">
        <v>90</v>
      </c>
      <c r="B110" s="3" t="s">
        <v>89</v>
      </c>
      <c r="C110" s="9">
        <v>-33489947</v>
      </c>
      <c r="D110" s="6">
        <v>-70632479</v>
      </c>
      <c r="E110" s="3" t="s">
        <v>229</v>
      </c>
      <c r="F110" s="5">
        <v>-33488278</v>
      </c>
      <c r="G110" s="5">
        <v>-70628629</v>
      </c>
      <c r="H110" s="5" t="s">
        <v>230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11"/>
      <c r="BT110" s="11"/>
      <c r="BU110" s="6"/>
      <c r="BV110" s="6"/>
      <c r="BW110" s="6"/>
      <c r="BX110" s="6"/>
      <c r="BY110" s="6"/>
      <c r="BZ110" s="6"/>
      <c r="CA110" s="6"/>
      <c r="CB110" s="6"/>
    </row>
    <row r="111" spans="1:80" x14ac:dyDescent="0.25">
      <c r="A111" t="s">
        <v>90</v>
      </c>
      <c r="B111" s="3" t="s">
        <v>89</v>
      </c>
      <c r="C111" s="9">
        <v>-33489947</v>
      </c>
      <c r="D111" s="6">
        <v>-70632479</v>
      </c>
      <c r="E111" s="3" t="s">
        <v>231</v>
      </c>
      <c r="F111" s="5">
        <v>-33488640</v>
      </c>
      <c r="G111" s="5">
        <v>-70628830</v>
      </c>
      <c r="H111" s="5" t="s">
        <v>220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1"/>
      <c r="BT111" s="11"/>
      <c r="BU111" s="6"/>
      <c r="BV111" s="6"/>
      <c r="BW111" s="6"/>
      <c r="BX111" s="6"/>
      <c r="BY111" s="6"/>
      <c r="BZ111" s="6"/>
      <c r="CA111" s="6"/>
      <c r="CB111" s="6"/>
    </row>
    <row r="112" spans="1:80" x14ac:dyDescent="0.25">
      <c r="A112" t="s">
        <v>90</v>
      </c>
      <c r="B112" s="3" t="s">
        <v>89</v>
      </c>
      <c r="C112" s="9">
        <v>-33489947</v>
      </c>
      <c r="D112" s="6">
        <v>-70632479</v>
      </c>
      <c r="E112" s="3" t="s">
        <v>232</v>
      </c>
      <c r="F112" s="5">
        <v>-33488667</v>
      </c>
      <c r="G112" s="5">
        <v>-70629064</v>
      </c>
      <c r="H112" s="5" t="s">
        <v>96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1"/>
      <c r="BT112" s="11"/>
      <c r="BU112" s="6"/>
      <c r="BV112" s="6"/>
      <c r="BW112" s="6"/>
      <c r="BX112" s="6"/>
      <c r="BY112" s="6"/>
      <c r="BZ112" s="6"/>
      <c r="CA112" s="6"/>
      <c r="CB112" s="6"/>
    </row>
    <row r="113" spans="1:80" x14ac:dyDescent="0.25">
      <c r="A113" t="s">
        <v>90</v>
      </c>
      <c r="B113" s="3" t="s">
        <v>89</v>
      </c>
      <c r="C113" s="9">
        <v>-33489947</v>
      </c>
      <c r="D113" s="6">
        <v>-70632479</v>
      </c>
      <c r="E113" s="3" t="s">
        <v>233</v>
      </c>
      <c r="F113" s="5">
        <v>-33488519</v>
      </c>
      <c r="G113" s="5">
        <v>-70629120</v>
      </c>
      <c r="H113" s="5" t="s">
        <v>234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1"/>
      <c r="BT113" s="11"/>
      <c r="BU113" s="6"/>
      <c r="BV113" s="6"/>
      <c r="BW113" s="6"/>
      <c r="BX113" s="6"/>
      <c r="BY113" s="6"/>
      <c r="BZ113" s="6"/>
      <c r="CA113" s="6"/>
      <c r="CB113" s="6"/>
    </row>
    <row r="114" spans="1:80" x14ac:dyDescent="0.25">
      <c r="A114" t="s">
        <v>90</v>
      </c>
      <c r="B114" s="3" t="s">
        <v>89</v>
      </c>
      <c r="C114" s="9">
        <v>-33489947</v>
      </c>
      <c r="D114" s="6">
        <v>-70632479</v>
      </c>
      <c r="E114" s="3" t="s">
        <v>235</v>
      </c>
      <c r="F114" s="5">
        <v>-33487351</v>
      </c>
      <c r="G114" s="5">
        <v>-70630469</v>
      </c>
      <c r="H114" s="5" t="s">
        <v>94</v>
      </c>
      <c r="I114" s="6">
        <v>0</v>
      </c>
      <c r="J114" s="6">
        <v>0</v>
      </c>
      <c r="K114" s="6">
        <v>0</v>
      </c>
      <c r="L114" s="6">
        <v>0</v>
      </c>
      <c r="M114" s="6">
        <v>1</v>
      </c>
      <c r="N114" s="6">
        <v>1</v>
      </c>
      <c r="O114" s="6">
        <v>1</v>
      </c>
      <c r="P114" s="6">
        <v>0</v>
      </c>
      <c r="Q114" s="6">
        <v>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1</v>
      </c>
      <c r="Y114" s="6">
        <v>0</v>
      </c>
      <c r="Z114" s="6">
        <v>0</v>
      </c>
      <c r="AA114" s="6">
        <v>0</v>
      </c>
      <c r="AB114" s="6">
        <v>0</v>
      </c>
      <c r="AC114" s="6">
        <v>1</v>
      </c>
      <c r="AD114" s="6">
        <v>1</v>
      </c>
      <c r="AE114" s="6">
        <v>0</v>
      </c>
      <c r="AF114" s="6">
        <v>1</v>
      </c>
      <c r="AG114" s="6">
        <v>1</v>
      </c>
      <c r="AH114" s="6">
        <v>0</v>
      </c>
      <c r="AI114" s="6">
        <v>0</v>
      </c>
      <c r="AJ114" s="6">
        <v>0</v>
      </c>
      <c r="AK114" s="6"/>
      <c r="AL114" s="6"/>
      <c r="AM114" s="6">
        <v>1</v>
      </c>
      <c r="AN114" s="6">
        <v>1</v>
      </c>
      <c r="AO114" s="6">
        <v>1</v>
      </c>
      <c r="AP114" s="6">
        <v>1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1</v>
      </c>
      <c r="AX114" s="6">
        <v>1</v>
      </c>
      <c r="AY114" s="6">
        <v>1</v>
      </c>
      <c r="AZ114" s="6"/>
      <c r="BA114" s="6"/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1</v>
      </c>
      <c r="BJ114" s="6"/>
      <c r="BK114" s="6"/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11"/>
      <c r="BT114" s="11"/>
      <c r="BU114" s="6"/>
      <c r="BV114" s="6"/>
      <c r="BW114" s="6"/>
      <c r="BX114" s="6"/>
      <c r="BY114" s="6"/>
      <c r="BZ114" s="6"/>
      <c r="CA114" s="6"/>
      <c r="CB114" s="6"/>
    </row>
    <row r="115" spans="1:80" x14ac:dyDescent="0.25">
      <c r="A115" t="s">
        <v>90</v>
      </c>
      <c r="B115" s="3" t="s">
        <v>89</v>
      </c>
      <c r="C115" s="9">
        <v>-33489947</v>
      </c>
      <c r="D115" s="6">
        <v>-70632479</v>
      </c>
      <c r="E115" s="3" t="s">
        <v>236</v>
      </c>
      <c r="F115" s="5">
        <v>-33487386</v>
      </c>
      <c r="G115" s="5">
        <v>-70631234</v>
      </c>
      <c r="H115" s="5" t="s">
        <v>94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1</v>
      </c>
      <c r="O115" s="6">
        <v>1</v>
      </c>
      <c r="P115" s="6">
        <v>0</v>
      </c>
      <c r="Q115" s="6">
        <v>0</v>
      </c>
      <c r="R115" s="6">
        <v>1</v>
      </c>
      <c r="S115" s="6">
        <v>0</v>
      </c>
      <c r="T115" s="6">
        <v>1</v>
      </c>
      <c r="U115" s="6">
        <v>1</v>
      </c>
      <c r="V115" s="6">
        <v>0</v>
      </c>
      <c r="W115" s="6">
        <v>1</v>
      </c>
      <c r="X115" s="6">
        <v>1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0</v>
      </c>
      <c r="AJ115" s="6">
        <v>0</v>
      </c>
      <c r="AK115" s="6"/>
      <c r="AL115" s="6"/>
      <c r="AM115" s="6">
        <v>1</v>
      </c>
      <c r="AN115" s="6">
        <v>1</v>
      </c>
      <c r="AO115" s="6">
        <v>1</v>
      </c>
      <c r="AP115" s="6">
        <v>1</v>
      </c>
      <c r="AQ115" s="6">
        <v>1</v>
      </c>
      <c r="AR115" s="6">
        <v>1</v>
      </c>
      <c r="AS115" s="6">
        <v>1</v>
      </c>
      <c r="AT115" s="6">
        <v>0</v>
      </c>
      <c r="AU115" s="6">
        <v>0</v>
      </c>
      <c r="AV115" s="6">
        <v>0</v>
      </c>
      <c r="AW115" s="6">
        <v>1</v>
      </c>
      <c r="AX115" s="6">
        <v>1</v>
      </c>
      <c r="AY115" s="6">
        <v>1</v>
      </c>
      <c r="AZ115" s="6"/>
      <c r="BA115" s="6"/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1</v>
      </c>
      <c r="BH115" s="6">
        <v>0</v>
      </c>
      <c r="BI115" s="6">
        <v>1</v>
      </c>
      <c r="BJ115" s="6"/>
      <c r="BK115" s="6"/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11"/>
      <c r="BT115" s="11"/>
      <c r="BU115" s="6"/>
      <c r="BV115" s="6"/>
      <c r="BW115" s="6"/>
      <c r="BX115" s="6"/>
      <c r="BY115" s="6"/>
      <c r="BZ115" s="6"/>
      <c r="CA115" s="6"/>
      <c r="CB115" s="6"/>
    </row>
    <row r="116" spans="1:80" x14ac:dyDescent="0.25">
      <c r="A116" t="s">
        <v>90</v>
      </c>
      <c r="B116" s="3" t="s">
        <v>89</v>
      </c>
      <c r="C116" s="9">
        <v>-33489947</v>
      </c>
      <c r="D116" s="6">
        <v>-70632479</v>
      </c>
      <c r="E116" s="3" t="s">
        <v>237</v>
      </c>
      <c r="F116" s="5">
        <v>-33487626</v>
      </c>
      <c r="G116" s="5">
        <v>-70631641</v>
      </c>
      <c r="H116" s="5" t="s">
        <v>238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1</v>
      </c>
      <c r="O116" s="6">
        <v>1</v>
      </c>
      <c r="P116" s="6">
        <v>0</v>
      </c>
      <c r="Q116" s="6">
        <v>1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/>
      <c r="AL116" s="6"/>
      <c r="AM116" s="6">
        <v>1</v>
      </c>
      <c r="AN116" s="6">
        <v>1</v>
      </c>
      <c r="AO116" s="6">
        <v>0</v>
      </c>
      <c r="AP116" s="6">
        <v>1</v>
      </c>
      <c r="AQ116" s="6">
        <v>0</v>
      </c>
      <c r="AR116" s="6">
        <v>0</v>
      </c>
      <c r="AS116" s="6">
        <v>1</v>
      </c>
      <c r="AT116" s="6">
        <v>0</v>
      </c>
      <c r="AU116" s="6">
        <v>0</v>
      </c>
      <c r="AV116" s="6">
        <v>1</v>
      </c>
      <c r="AW116" s="6">
        <v>1</v>
      </c>
      <c r="AX116" s="6">
        <v>0</v>
      </c>
      <c r="AY116" s="6">
        <v>0</v>
      </c>
      <c r="AZ116" s="6"/>
      <c r="BA116" s="6"/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/>
      <c r="BK116" s="6"/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11"/>
      <c r="BT116" s="11"/>
      <c r="BU116" s="6"/>
      <c r="BV116" s="6"/>
      <c r="BW116" s="6"/>
      <c r="BX116" s="6"/>
      <c r="BY116" s="6"/>
      <c r="BZ116" s="6"/>
      <c r="CA116" s="6"/>
      <c r="CB116" s="6"/>
    </row>
    <row r="117" spans="1:80" x14ac:dyDescent="0.25">
      <c r="A117" t="s">
        <v>90</v>
      </c>
      <c r="B117" s="3" t="s">
        <v>89</v>
      </c>
      <c r="C117" s="9">
        <v>-33489947</v>
      </c>
      <c r="D117" s="6">
        <v>-70632479</v>
      </c>
      <c r="E117" s="3" t="s">
        <v>239</v>
      </c>
      <c r="F117" s="5">
        <v>-33487127</v>
      </c>
      <c r="G117" s="5">
        <v>-70632454</v>
      </c>
      <c r="H117" s="5" t="s">
        <v>240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/>
      <c r="AL117" s="6"/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1</v>
      </c>
      <c r="AU117" s="6">
        <v>1</v>
      </c>
      <c r="AV117" s="6">
        <v>0</v>
      </c>
      <c r="AW117" s="6">
        <v>0</v>
      </c>
      <c r="AX117" s="6">
        <v>0</v>
      </c>
      <c r="AY117" s="6">
        <v>0</v>
      </c>
      <c r="AZ117" s="6"/>
      <c r="BA117" s="6"/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/>
      <c r="BK117" s="6"/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11"/>
      <c r="BT117" s="11"/>
      <c r="BU117" s="6"/>
      <c r="BV117" s="6"/>
      <c r="BW117" s="6"/>
      <c r="BX117" s="6"/>
      <c r="BY117" s="6"/>
      <c r="BZ117" s="6"/>
      <c r="CA117" s="6"/>
      <c r="CB117" s="6"/>
    </row>
    <row r="118" spans="1:80" x14ac:dyDescent="0.25">
      <c r="A118" t="s">
        <v>90</v>
      </c>
      <c r="B118" s="3" t="s">
        <v>89</v>
      </c>
      <c r="C118" s="9">
        <v>-33489947</v>
      </c>
      <c r="D118" s="6">
        <v>-70632479</v>
      </c>
      <c r="E118" s="3" t="s">
        <v>241</v>
      </c>
      <c r="F118" s="5">
        <v>-33487075</v>
      </c>
      <c r="G118" s="5">
        <v>-70632578</v>
      </c>
      <c r="H118" s="5" t="s">
        <v>240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12">
        <v>0</v>
      </c>
      <c r="AI118" s="12">
        <v>0</v>
      </c>
      <c r="AJ118" s="12">
        <v>0</v>
      </c>
      <c r="AK118" s="6"/>
      <c r="AL118" s="6"/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1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1</v>
      </c>
      <c r="AZ118" s="6"/>
      <c r="BA118" s="6"/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/>
      <c r="BK118" s="6"/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11"/>
      <c r="BT118" s="11"/>
      <c r="BU118" s="6"/>
      <c r="BV118" s="6"/>
      <c r="BW118" s="6"/>
      <c r="BX118" s="6"/>
      <c r="BY118" s="6"/>
      <c r="BZ118" s="6"/>
      <c r="CA118" s="6"/>
      <c r="CB118" s="6"/>
    </row>
    <row r="119" spans="1:80" x14ac:dyDescent="0.25">
      <c r="A119" t="s">
        <v>90</v>
      </c>
      <c r="B119" s="3" t="s">
        <v>89</v>
      </c>
      <c r="C119" s="9">
        <v>-33489947</v>
      </c>
      <c r="D119" s="6">
        <v>-70632479</v>
      </c>
      <c r="E119" s="3" t="s">
        <v>242</v>
      </c>
      <c r="F119" s="5">
        <v>-33486851</v>
      </c>
      <c r="G119" s="5">
        <v>-70632532</v>
      </c>
      <c r="H119" s="5" t="s">
        <v>243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1</v>
      </c>
      <c r="P119" s="6">
        <v>0</v>
      </c>
      <c r="Q119" s="6">
        <v>1</v>
      </c>
      <c r="R119" s="6">
        <v>0</v>
      </c>
      <c r="S119" s="6">
        <v>1</v>
      </c>
      <c r="T119" s="6">
        <v>0</v>
      </c>
      <c r="U119" s="6">
        <v>1</v>
      </c>
      <c r="V119" s="6">
        <v>0</v>
      </c>
      <c r="W119" s="6">
        <v>1</v>
      </c>
      <c r="X119" s="6">
        <v>1</v>
      </c>
      <c r="Y119" s="6">
        <v>0</v>
      </c>
      <c r="Z119" s="6">
        <v>0</v>
      </c>
      <c r="AA119" s="6">
        <v>0</v>
      </c>
      <c r="AB119" s="6">
        <v>0</v>
      </c>
      <c r="AC119" s="6">
        <v>1</v>
      </c>
      <c r="AD119" s="6">
        <v>1</v>
      </c>
      <c r="AE119" s="6">
        <v>0</v>
      </c>
      <c r="AF119" s="6">
        <v>1</v>
      </c>
      <c r="AG119" s="6">
        <v>0</v>
      </c>
      <c r="AH119" s="12">
        <v>1</v>
      </c>
      <c r="AI119" s="12">
        <v>0</v>
      </c>
      <c r="AJ119" s="12">
        <v>0</v>
      </c>
      <c r="AK119" s="6"/>
      <c r="AL119" s="6"/>
      <c r="AM119" s="6">
        <v>1</v>
      </c>
      <c r="AN119" s="6">
        <v>1</v>
      </c>
      <c r="AO119" s="6">
        <v>1</v>
      </c>
      <c r="AP119" s="6">
        <v>1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1</v>
      </c>
      <c r="AX119" s="6">
        <v>1</v>
      </c>
      <c r="AY119" s="6">
        <v>0</v>
      </c>
      <c r="AZ119" s="6"/>
      <c r="BA119" s="6"/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/>
      <c r="BK119" s="6"/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11"/>
      <c r="BT119" s="11"/>
      <c r="BU119" s="6"/>
      <c r="BV119" s="6"/>
      <c r="BW119" s="6"/>
      <c r="BX119" s="6"/>
      <c r="BY119" s="6"/>
      <c r="BZ119" s="6"/>
      <c r="CA119" s="6"/>
      <c r="CB119" s="6"/>
    </row>
    <row r="120" spans="1:80" x14ac:dyDescent="0.25">
      <c r="A120" t="s">
        <v>90</v>
      </c>
      <c r="B120" s="3" t="s">
        <v>89</v>
      </c>
      <c r="C120" s="9">
        <v>-33489947</v>
      </c>
      <c r="D120" s="6">
        <v>-70632479</v>
      </c>
      <c r="E120" s="13" t="s">
        <v>244</v>
      </c>
      <c r="F120" s="5">
        <v>-33488441</v>
      </c>
      <c r="G120" s="5">
        <v>-7063362</v>
      </c>
      <c r="H120" s="5" t="s">
        <v>220</v>
      </c>
      <c r="I120" s="6">
        <v>1</v>
      </c>
      <c r="J120" s="6">
        <v>0</v>
      </c>
      <c r="K120" s="6">
        <v>0</v>
      </c>
      <c r="L120" s="6">
        <v>0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0</v>
      </c>
      <c r="W120" s="6">
        <v>1</v>
      </c>
      <c r="X120" s="6">
        <v>1</v>
      </c>
      <c r="Y120" s="6">
        <v>1</v>
      </c>
      <c r="Z120" s="6">
        <v>1</v>
      </c>
      <c r="AA120" s="6">
        <v>0</v>
      </c>
      <c r="AB120" s="6">
        <v>0</v>
      </c>
      <c r="AC120" s="6">
        <v>1</v>
      </c>
      <c r="AD120" s="6">
        <v>1</v>
      </c>
      <c r="AE120" s="6">
        <v>0</v>
      </c>
      <c r="AF120" s="6">
        <v>1</v>
      </c>
      <c r="AG120" s="6">
        <v>1</v>
      </c>
      <c r="AH120" s="12">
        <v>1</v>
      </c>
      <c r="AI120" s="12">
        <v>0</v>
      </c>
      <c r="AJ120" s="12">
        <v>0</v>
      </c>
      <c r="AK120" s="6"/>
      <c r="AL120" s="6"/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1</v>
      </c>
      <c r="AX120" s="6">
        <v>1</v>
      </c>
      <c r="AY120" s="6">
        <v>0</v>
      </c>
      <c r="AZ120" s="6"/>
      <c r="BA120" s="6"/>
      <c r="BB120" s="6">
        <v>0</v>
      </c>
      <c r="BC120" s="6">
        <v>1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/>
      <c r="BK120" s="6"/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11"/>
      <c r="BT120" s="11"/>
      <c r="BU120" s="6"/>
      <c r="BV120" s="6"/>
      <c r="BW120" s="6"/>
      <c r="BX120" s="6"/>
      <c r="BY120" s="6"/>
      <c r="BZ120" s="6"/>
      <c r="CA120" s="6"/>
      <c r="CB120" s="6"/>
    </row>
    <row r="121" spans="1:80" x14ac:dyDescent="0.25">
      <c r="A121" t="s">
        <v>90</v>
      </c>
      <c r="B121" s="3" t="s">
        <v>89</v>
      </c>
      <c r="C121" s="9">
        <v>-33489947</v>
      </c>
      <c r="D121" s="6">
        <v>-70632479</v>
      </c>
      <c r="E121" s="13" t="s">
        <v>245</v>
      </c>
      <c r="F121" s="5">
        <v>-33488073</v>
      </c>
      <c r="G121" s="5">
        <v>-70634255</v>
      </c>
      <c r="H121" s="5" t="s">
        <v>210</v>
      </c>
      <c r="I121" s="6">
        <v>1</v>
      </c>
      <c r="J121" s="6">
        <v>0</v>
      </c>
      <c r="K121" s="6">
        <v>0</v>
      </c>
      <c r="L121" s="6">
        <v>0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0</v>
      </c>
      <c r="W121" s="6">
        <v>1</v>
      </c>
      <c r="X121" s="6">
        <v>1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1</v>
      </c>
      <c r="AE121" s="6">
        <v>0</v>
      </c>
      <c r="AF121" s="6">
        <v>0</v>
      </c>
      <c r="AG121" s="6">
        <v>0</v>
      </c>
      <c r="AH121" s="12">
        <v>1</v>
      </c>
      <c r="AI121" s="12">
        <v>0</v>
      </c>
      <c r="AJ121" s="12">
        <v>0</v>
      </c>
      <c r="AK121" s="6"/>
      <c r="AL121" s="6"/>
      <c r="AM121" s="6">
        <v>1</v>
      </c>
      <c r="AN121" s="6">
        <v>1</v>
      </c>
      <c r="AO121" s="6">
        <v>0</v>
      </c>
      <c r="AP121" s="6">
        <v>1</v>
      </c>
      <c r="AQ121" s="6">
        <v>1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1</v>
      </c>
      <c r="AX121" s="6">
        <v>1</v>
      </c>
      <c r="AY121" s="6">
        <v>0</v>
      </c>
      <c r="AZ121" s="6"/>
      <c r="BA121" s="6"/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1</v>
      </c>
      <c r="BH121" s="6">
        <v>0</v>
      </c>
      <c r="BI121" s="6">
        <v>0</v>
      </c>
      <c r="BJ121" s="6"/>
      <c r="BK121" s="6"/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11"/>
      <c r="BT121" s="11"/>
      <c r="BU121" s="6"/>
      <c r="BV121" s="6"/>
      <c r="BW121" s="6"/>
      <c r="BX121" s="6"/>
      <c r="BY121" s="6"/>
      <c r="BZ121" s="6"/>
      <c r="CA121" s="6"/>
      <c r="CB121" s="6"/>
    </row>
    <row r="122" spans="1:80" x14ac:dyDescent="0.25">
      <c r="A122" t="s">
        <v>90</v>
      </c>
      <c r="B122" s="3" t="s">
        <v>89</v>
      </c>
      <c r="C122" s="9">
        <v>-33489947</v>
      </c>
      <c r="D122" s="6">
        <v>-70632479</v>
      </c>
      <c r="E122" s="3" t="s">
        <v>246</v>
      </c>
      <c r="F122" s="5">
        <v>-33487666</v>
      </c>
      <c r="G122" s="5">
        <v>-70635112</v>
      </c>
      <c r="H122" s="5" t="s">
        <v>247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12">
        <v>0</v>
      </c>
      <c r="AI122" s="12">
        <v>0</v>
      </c>
      <c r="AJ122" s="12">
        <v>0</v>
      </c>
      <c r="AK122" s="6"/>
      <c r="AL122" s="6"/>
      <c r="AM122" s="6">
        <v>1</v>
      </c>
      <c r="AN122" s="6">
        <v>1</v>
      </c>
      <c r="AO122" s="6">
        <v>0</v>
      </c>
      <c r="AP122" s="6">
        <v>1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1</v>
      </c>
      <c r="AX122" s="6">
        <v>1</v>
      </c>
      <c r="AY122" s="6">
        <v>0</v>
      </c>
      <c r="AZ122" s="6"/>
      <c r="BA122" s="6"/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/>
      <c r="BK122" s="6"/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11"/>
      <c r="BT122" s="11"/>
      <c r="BU122" s="6"/>
      <c r="BV122" s="6"/>
      <c r="BW122" s="6"/>
      <c r="BX122" s="6"/>
      <c r="BY122" s="6"/>
      <c r="BZ122" s="6"/>
      <c r="CA122" s="6"/>
      <c r="CB122" s="6"/>
    </row>
    <row r="123" spans="1:80" x14ac:dyDescent="0.25">
      <c r="A123" t="s">
        <v>90</v>
      </c>
      <c r="B123" s="3" t="s">
        <v>89</v>
      </c>
      <c r="C123" s="9">
        <v>-33489947</v>
      </c>
      <c r="D123" s="6">
        <v>-70632479</v>
      </c>
      <c r="E123" s="3" t="s">
        <v>248</v>
      </c>
      <c r="F123" s="5">
        <v>-33487727</v>
      </c>
      <c r="G123" s="5">
        <v>-70635130</v>
      </c>
      <c r="H123" s="5" t="s">
        <v>230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1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1</v>
      </c>
      <c r="X123" s="6">
        <v>1</v>
      </c>
      <c r="Y123" s="6">
        <v>0</v>
      </c>
      <c r="Z123" s="6">
        <v>0</v>
      </c>
      <c r="AA123" s="6">
        <v>0</v>
      </c>
      <c r="AB123" s="6">
        <v>0</v>
      </c>
      <c r="AC123" s="6">
        <v>1</v>
      </c>
      <c r="AD123" s="6">
        <v>1</v>
      </c>
      <c r="AE123" s="6">
        <v>0</v>
      </c>
      <c r="AF123" s="6">
        <v>0</v>
      </c>
      <c r="AG123" s="6">
        <v>0</v>
      </c>
      <c r="AH123" s="12">
        <v>1</v>
      </c>
      <c r="AI123" s="12">
        <v>0</v>
      </c>
      <c r="AJ123" s="12">
        <v>0</v>
      </c>
      <c r="AK123" s="6"/>
      <c r="AL123" s="6"/>
      <c r="AM123" s="6">
        <v>1</v>
      </c>
      <c r="AN123" s="6">
        <v>1</v>
      </c>
      <c r="AO123" s="6">
        <v>1</v>
      </c>
      <c r="AP123" s="6">
        <v>1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1</v>
      </c>
      <c r="AX123" s="6">
        <v>0</v>
      </c>
      <c r="AY123" s="6">
        <v>0</v>
      </c>
      <c r="AZ123" s="6"/>
      <c r="BA123" s="6"/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/>
      <c r="BK123" s="6"/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11"/>
      <c r="BT123" s="11"/>
      <c r="BU123" s="6"/>
      <c r="BV123" s="6"/>
      <c r="BW123" s="6"/>
      <c r="BX123" s="6"/>
      <c r="BY123" s="6"/>
      <c r="BZ123" s="6"/>
      <c r="CA123" s="6"/>
      <c r="CB123" s="6"/>
    </row>
    <row r="124" spans="1:80" x14ac:dyDescent="0.25">
      <c r="A124" t="s">
        <v>90</v>
      </c>
      <c r="B124" s="3" t="s">
        <v>89</v>
      </c>
      <c r="C124" s="9">
        <v>-33489947</v>
      </c>
      <c r="D124" s="6">
        <v>-70632479</v>
      </c>
      <c r="E124" s="13" t="s">
        <v>249</v>
      </c>
      <c r="F124" s="5">
        <v>-33488098</v>
      </c>
      <c r="G124" s="5">
        <v>-70634605</v>
      </c>
      <c r="H124" s="5" t="s">
        <v>94</v>
      </c>
      <c r="I124" s="6">
        <v>1</v>
      </c>
      <c r="J124" s="6">
        <v>0</v>
      </c>
      <c r="K124" s="6">
        <v>0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0</v>
      </c>
      <c r="S124" s="6">
        <v>1</v>
      </c>
      <c r="T124" s="6">
        <v>1</v>
      </c>
      <c r="U124" s="6">
        <v>1</v>
      </c>
      <c r="V124" s="6">
        <v>0</v>
      </c>
      <c r="W124" s="6">
        <v>1</v>
      </c>
      <c r="X124" s="6">
        <v>1</v>
      </c>
      <c r="Y124" s="6">
        <v>0</v>
      </c>
      <c r="Z124" s="6">
        <v>0</v>
      </c>
      <c r="AA124" s="6">
        <v>0</v>
      </c>
      <c r="AB124" s="6">
        <v>0</v>
      </c>
      <c r="AC124" s="6">
        <v>1</v>
      </c>
      <c r="AD124" s="6">
        <v>1</v>
      </c>
      <c r="AE124" s="6">
        <v>0</v>
      </c>
      <c r="AF124" s="6">
        <v>1</v>
      </c>
      <c r="AG124" s="6">
        <v>1</v>
      </c>
      <c r="AH124" s="12">
        <v>1</v>
      </c>
      <c r="AI124" s="12">
        <v>0</v>
      </c>
      <c r="AJ124" s="12">
        <v>0</v>
      </c>
      <c r="AK124" s="6"/>
      <c r="AL124" s="6"/>
      <c r="AM124" s="6">
        <v>1</v>
      </c>
      <c r="AN124" s="6">
        <v>1</v>
      </c>
      <c r="AO124" s="6">
        <v>1</v>
      </c>
      <c r="AP124" s="6">
        <v>1</v>
      </c>
      <c r="AQ124" s="6">
        <v>1</v>
      </c>
      <c r="AR124" s="6">
        <v>0</v>
      </c>
      <c r="AS124" s="6">
        <v>1</v>
      </c>
      <c r="AT124" s="6">
        <v>1</v>
      </c>
      <c r="AU124" s="6">
        <v>0</v>
      </c>
      <c r="AV124" s="6">
        <v>0</v>
      </c>
      <c r="AW124" s="6">
        <v>1</v>
      </c>
      <c r="AX124" s="6">
        <v>1</v>
      </c>
      <c r="AY124" s="6">
        <v>1</v>
      </c>
      <c r="AZ124" s="6"/>
      <c r="BA124" s="6"/>
      <c r="BB124" s="6">
        <v>0</v>
      </c>
      <c r="BC124" s="6">
        <v>0</v>
      </c>
      <c r="BD124" s="6">
        <v>1</v>
      </c>
      <c r="BE124" s="6">
        <v>1</v>
      </c>
      <c r="BF124" s="6">
        <v>0</v>
      </c>
      <c r="BG124" s="6">
        <v>0</v>
      </c>
      <c r="BH124" s="6">
        <v>0</v>
      </c>
      <c r="BI124" s="6">
        <v>1</v>
      </c>
      <c r="BJ124" s="6"/>
      <c r="BK124" s="6"/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11"/>
      <c r="BT124" s="11"/>
      <c r="BU124" s="6"/>
      <c r="BV124" s="6"/>
      <c r="BW124" s="6"/>
      <c r="BX124" s="6"/>
      <c r="BY124" s="6"/>
      <c r="BZ124" s="6"/>
      <c r="CA124" s="6"/>
      <c r="CB124" s="6"/>
    </row>
    <row r="125" spans="1:80" x14ac:dyDescent="0.25">
      <c r="A125" t="s">
        <v>90</v>
      </c>
      <c r="B125" s="3" t="s">
        <v>89</v>
      </c>
      <c r="C125" s="9">
        <v>-33489947</v>
      </c>
      <c r="D125" s="6">
        <v>-70632479</v>
      </c>
      <c r="E125" s="13" t="s">
        <v>250</v>
      </c>
      <c r="F125" s="5">
        <v>-33488252</v>
      </c>
      <c r="G125" s="5">
        <v>-70634482</v>
      </c>
      <c r="H125" s="5" t="s">
        <v>94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0</v>
      </c>
      <c r="V125" s="6">
        <v>0</v>
      </c>
      <c r="W125" s="6">
        <v>1</v>
      </c>
      <c r="X125" s="6">
        <v>1</v>
      </c>
      <c r="Y125" s="6">
        <v>0</v>
      </c>
      <c r="Z125" s="6">
        <v>0</v>
      </c>
      <c r="AA125" s="6">
        <v>0</v>
      </c>
      <c r="AB125" s="6">
        <v>0</v>
      </c>
      <c r="AC125" s="6">
        <v>1</v>
      </c>
      <c r="AD125" s="6">
        <v>1</v>
      </c>
      <c r="AE125" s="6">
        <v>0</v>
      </c>
      <c r="AF125" s="6">
        <v>1</v>
      </c>
      <c r="AG125" s="6">
        <v>0</v>
      </c>
      <c r="AH125" s="12">
        <v>1</v>
      </c>
      <c r="AI125" s="12">
        <v>0</v>
      </c>
      <c r="AJ125" s="12">
        <v>0</v>
      </c>
      <c r="AK125" s="6"/>
      <c r="AL125" s="6"/>
      <c r="AM125" s="6">
        <v>1</v>
      </c>
      <c r="AN125" s="6">
        <v>1</v>
      </c>
      <c r="AO125" s="6">
        <v>1</v>
      </c>
      <c r="AP125" s="6">
        <v>1</v>
      </c>
      <c r="AQ125" s="6">
        <v>1</v>
      </c>
      <c r="AR125" s="6">
        <v>1</v>
      </c>
      <c r="AS125" s="6">
        <v>1</v>
      </c>
      <c r="AT125" s="6">
        <v>0</v>
      </c>
      <c r="AU125" s="6">
        <v>0</v>
      </c>
      <c r="AV125" s="6">
        <v>0</v>
      </c>
      <c r="AW125" s="6">
        <v>1</v>
      </c>
      <c r="AX125" s="6">
        <v>1</v>
      </c>
      <c r="AY125" s="6">
        <v>0</v>
      </c>
      <c r="AZ125" s="6"/>
      <c r="BA125" s="6"/>
      <c r="BB125" s="6">
        <v>0</v>
      </c>
      <c r="BC125" s="6">
        <v>0</v>
      </c>
      <c r="BD125" s="6">
        <v>1</v>
      </c>
      <c r="BE125" s="6">
        <v>1</v>
      </c>
      <c r="BF125" s="6">
        <v>1</v>
      </c>
      <c r="BG125" s="6">
        <v>1</v>
      </c>
      <c r="BH125" s="6">
        <v>0</v>
      </c>
      <c r="BI125" s="6">
        <v>1</v>
      </c>
      <c r="BJ125" s="6"/>
      <c r="BK125" s="6"/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11"/>
      <c r="BT125" s="11"/>
      <c r="BU125" s="6"/>
      <c r="BV125" s="6"/>
      <c r="BW125" s="6"/>
      <c r="BX125" s="6"/>
      <c r="BY125" s="6"/>
      <c r="BZ125" s="6"/>
      <c r="CA125" s="6"/>
      <c r="CB125" s="6"/>
    </row>
    <row r="126" spans="1:80" x14ac:dyDescent="0.25">
      <c r="A126" t="s">
        <v>90</v>
      </c>
      <c r="B126" s="3" t="s">
        <v>89</v>
      </c>
      <c r="C126" s="9">
        <v>-33489947</v>
      </c>
      <c r="D126" s="6">
        <v>-70632479</v>
      </c>
      <c r="E126" s="13" t="s">
        <v>251</v>
      </c>
      <c r="F126" s="5">
        <v>-33489686</v>
      </c>
      <c r="G126" s="5">
        <v>-706358481</v>
      </c>
      <c r="H126" s="5" t="s">
        <v>252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1</v>
      </c>
      <c r="AD126" s="6">
        <v>1</v>
      </c>
      <c r="AE126" s="6">
        <v>1</v>
      </c>
      <c r="AF126" s="6">
        <v>1</v>
      </c>
      <c r="AG126" s="6">
        <v>1</v>
      </c>
      <c r="AH126" s="12">
        <v>0</v>
      </c>
      <c r="AI126" s="12">
        <v>0</v>
      </c>
      <c r="AJ126" s="12">
        <v>0</v>
      </c>
      <c r="AK126" s="6"/>
      <c r="AL126" s="6"/>
      <c r="AM126" s="6">
        <v>1</v>
      </c>
      <c r="AN126" s="6">
        <v>1</v>
      </c>
      <c r="AO126" s="6">
        <v>0</v>
      </c>
      <c r="AP126" s="6">
        <v>1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1</v>
      </c>
      <c r="AX126" s="6">
        <v>1</v>
      </c>
      <c r="AY126" s="6">
        <v>1</v>
      </c>
      <c r="AZ126" s="6"/>
      <c r="BA126" s="6"/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/>
      <c r="BK126" s="6"/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11"/>
      <c r="BT126" s="11"/>
      <c r="BU126" s="6"/>
      <c r="BV126" s="6"/>
      <c r="BW126" s="6"/>
      <c r="BX126" s="6"/>
      <c r="BY126" s="6"/>
      <c r="BZ126" s="6"/>
      <c r="CA126" s="6"/>
      <c r="CB126" s="6"/>
    </row>
    <row r="127" spans="1:80" x14ac:dyDescent="0.25">
      <c r="A127" t="s">
        <v>90</v>
      </c>
      <c r="B127" s="3" t="s">
        <v>89</v>
      </c>
      <c r="C127" s="9">
        <v>-33489947</v>
      </c>
      <c r="D127" s="6">
        <v>-70632479</v>
      </c>
      <c r="E127" s="13" t="s">
        <v>253</v>
      </c>
      <c r="F127" s="5">
        <v>-33489789</v>
      </c>
      <c r="G127" s="5">
        <v>-70635679</v>
      </c>
      <c r="H127" s="5" t="s">
        <v>179</v>
      </c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0</v>
      </c>
      <c r="S127" s="6">
        <v>1</v>
      </c>
      <c r="T127" s="6">
        <v>1</v>
      </c>
      <c r="U127" s="6">
        <v>1</v>
      </c>
      <c r="V127" s="6">
        <v>0</v>
      </c>
      <c r="W127" s="6">
        <v>1</v>
      </c>
      <c r="X127" s="6">
        <v>1</v>
      </c>
      <c r="Y127" s="6">
        <v>0</v>
      </c>
      <c r="Z127" s="6">
        <v>0</v>
      </c>
      <c r="AA127" s="6">
        <v>0</v>
      </c>
      <c r="AB127" s="6">
        <v>0</v>
      </c>
      <c r="AC127" s="6">
        <v>1</v>
      </c>
      <c r="AD127" s="6">
        <v>0</v>
      </c>
      <c r="AE127" s="6">
        <v>0</v>
      </c>
      <c r="AF127" s="6">
        <v>0</v>
      </c>
      <c r="AG127" s="6">
        <v>0</v>
      </c>
      <c r="AH127" s="12">
        <v>1</v>
      </c>
      <c r="AI127" s="12">
        <v>0</v>
      </c>
      <c r="AJ127" s="12">
        <v>0</v>
      </c>
      <c r="AK127" s="6"/>
      <c r="AL127" s="6"/>
      <c r="AM127" s="6">
        <v>1</v>
      </c>
      <c r="AN127" s="6">
        <v>1</v>
      </c>
      <c r="AO127" s="6">
        <v>1</v>
      </c>
      <c r="AP127" s="6">
        <v>1</v>
      </c>
      <c r="AQ127" s="6">
        <v>0</v>
      </c>
      <c r="AR127" s="6">
        <v>0</v>
      </c>
      <c r="AS127" s="6">
        <v>1</v>
      </c>
      <c r="AT127" s="6">
        <v>0</v>
      </c>
      <c r="AU127" s="6">
        <v>0</v>
      </c>
      <c r="AV127" s="6">
        <v>0</v>
      </c>
      <c r="AW127" s="6">
        <v>1</v>
      </c>
      <c r="AX127" s="6">
        <v>0</v>
      </c>
      <c r="AY127" s="6">
        <v>1</v>
      </c>
      <c r="AZ127" s="6"/>
      <c r="BA127" s="6"/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/>
      <c r="BK127" s="6"/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11"/>
      <c r="BT127" s="11"/>
      <c r="BU127" s="6"/>
      <c r="BV127" s="6"/>
      <c r="BW127" s="6"/>
      <c r="BX127" s="6"/>
      <c r="BY127" s="6"/>
      <c r="BZ127" s="6"/>
      <c r="CA127" s="6"/>
      <c r="CB127" s="6"/>
    </row>
    <row r="128" spans="1:80" x14ac:dyDescent="0.25">
      <c r="A128" t="s">
        <v>90</v>
      </c>
      <c r="B128" s="3" t="s">
        <v>89</v>
      </c>
      <c r="C128" s="9">
        <v>-33489947</v>
      </c>
      <c r="D128" s="6">
        <v>-70632479</v>
      </c>
      <c r="E128" s="13" t="s">
        <v>254</v>
      </c>
      <c r="F128" s="5">
        <v>-33489887</v>
      </c>
      <c r="G128" s="5">
        <v>-70634903</v>
      </c>
      <c r="H128" s="5" t="s">
        <v>94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12"/>
      <c r="AI128" s="12"/>
      <c r="AJ128" s="12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11"/>
      <c r="BT128" s="11"/>
      <c r="BU128" s="6"/>
      <c r="BV128" s="6"/>
      <c r="BW128" s="6"/>
      <c r="BX128" s="6"/>
      <c r="BY128" s="6"/>
      <c r="BZ128" s="6"/>
      <c r="CA128" s="6"/>
      <c r="CB128" s="6"/>
    </row>
    <row r="129" spans="1:80" x14ac:dyDescent="0.25">
      <c r="A129" t="s">
        <v>90</v>
      </c>
      <c r="B129" s="3" t="s">
        <v>89</v>
      </c>
      <c r="C129" s="9">
        <v>-33489947</v>
      </c>
      <c r="D129" s="6">
        <v>-70632479</v>
      </c>
      <c r="E129" s="13" t="s">
        <v>255</v>
      </c>
      <c r="F129" s="5">
        <v>-33489477</v>
      </c>
      <c r="G129" s="5">
        <v>-70634980</v>
      </c>
      <c r="H129" s="5" t="s">
        <v>94</v>
      </c>
      <c r="I129" s="6">
        <v>1</v>
      </c>
      <c r="J129" s="6">
        <v>0</v>
      </c>
      <c r="K129" s="6">
        <v>1</v>
      </c>
      <c r="L129" s="6">
        <v>0</v>
      </c>
      <c r="M129" s="6">
        <v>1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0</v>
      </c>
      <c r="W129" s="6">
        <v>1</v>
      </c>
      <c r="X129" s="6">
        <v>1</v>
      </c>
      <c r="Y129" s="6">
        <v>0</v>
      </c>
      <c r="Z129" s="6">
        <v>1</v>
      </c>
      <c r="AA129" s="6">
        <v>0</v>
      </c>
      <c r="AB129" s="6">
        <v>0</v>
      </c>
      <c r="AC129" s="6">
        <v>1</v>
      </c>
      <c r="AD129" s="6">
        <v>1</v>
      </c>
      <c r="AE129" s="6">
        <v>0</v>
      </c>
      <c r="AF129" s="6">
        <v>1</v>
      </c>
      <c r="AG129" s="6">
        <v>1</v>
      </c>
      <c r="AH129" s="12">
        <v>1</v>
      </c>
      <c r="AI129" s="12">
        <v>0</v>
      </c>
      <c r="AJ129" s="12">
        <v>0</v>
      </c>
      <c r="AK129" s="6"/>
      <c r="AL129" s="6"/>
      <c r="AM129" s="6">
        <v>1</v>
      </c>
      <c r="AN129" s="6">
        <v>1</v>
      </c>
      <c r="AO129" s="6">
        <v>1</v>
      </c>
      <c r="AP129" s="6">
        <v>1</v>
      </c>
      <c r="AQ129" s="6">
        <v>1</v>
      </c>
      <c r="AR129" s="6">
        <v>0</v>
      </c>
      <c r="AS129" s="6">
        <v>1</v>
      </c>
      <c r="AT129" s="6">
        <v>0</v>
      </c>
      <c r="AU129" s="6">
        <v>0</v>
      </c>
      <c r="AV129" s="6">
        <v>0</v>
      </c>
      <c r="AW129" s="6">
        <v>1</v>
      </c>
      <c r="AX129" s="6">
        <v>1</v>
      </c>
      <c r="AY129" s="6">
        <v>1</v>
      </c>
      <c r="AZ129" s="6"/>
      <c r="BA129" s="6"/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1</v>
      </c>
      <c r="BJ129" s="6"/>
      <c r="BK129" s="6"/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11"/>
      <c r="BT129" s="11"/>
      <c r="BU129" s="6"/>
      <c r="BV129" s="6"/>
      <c r="BW129" s="6"/>
      <c r="BX129" s="6"/>
      <c r="BY129" s="6"/>
      <c r="BZ129" s="6"/>
      <c r="CA129" s="6"/>
      <c r="CB129" s="6"/>
    </row>
    <row r="130" spans="1:80" x14ac:dyDescent="0.25">
      <c r="A130" t="s">
        <v>90</v>
      </c>
      <c r="B130" s="3" t="s">
        <v>89</v>
      </c>
      <c r="C130" s="9">
        <v>-33489947</v>
      </c>
      <c r="D130" s="6">
        <v>-70632479</v>
      </c>
      <c r="E130" s="13" t="s">
        <v>256</v>
      </c>
      <c r="F130" s="5">
        <v>-33490227</v>
      </c>
      <c r="G130" s="5">
        <v>-70633289</v>
      </c>
      <c r="H130" s="5" t="s">
        <v>96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12"/>
      <c r="AI130" s="12"/>
      <c r="AJ130" s="12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11"/>
      <c r="BT130" s="11"/>
      <c r="BU130" s="6"/>
      <c r="BV130" s="6"/>
      <c r="BW130" s="6"/>
      <c r="BX130" s="6"/>
      <c r="BY130" s="6"/>
      <c r="BZ130" s="6"/>
      <c r="CA130" s="6"/>
      <c r="CB130" s="6"/>
    </row>
    <row r="131" spans="1:80" x14ac:dyDescent="0.25">
      <c r="A131" t="s">
        <v>90</v>
      </c>
      <c r="B131" s="3" t="s">
        <v>89</v>
      </c>
      <c r="C131" s="9">
        <v>-33489947</v>
      </c>
      <c r="D131" s="6">
        <v>-70632479</v>
      </c>
      <c r="E131" s="13" t="s">
        <v>257</v>
      </c>
      <c r="F131" s="5">
        <v>-33491161</v>
      </c>
      <c r="G131" s="5">
        <v>-70633256</v>
      </c>
      <c r="H131" s="5" t="s">
        <v>220</v>
      </c>
      <c r="I131" s="6">
        <v>1</v>
      </c>
      <c r="J131" s="6">
        <v>0</v>
      </c>
      <c r="K131" s="6">
        <v>0</v>
      </c>
      <c r="L131" s="6">
        <v>0</v>
      </c>
      <c r="M131" s="6">
        <v>1</v>
      </c>
      <c r="N131" s="6">
        <v>1</v>
      </c>
      <c r="O131" s="6">
        <v>1</v>
      </c>
      <c r="P131" s="6">
        <v>0</v>
      </c>
      <c r="Q131" s="6">
        <v>1</v>
      </c>
      <c r="R131" s="6">
        <v>0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6">
        <v>1</v>
      </c>
      <c r="Y131" s="6">
        <v>0</v>
      </c>
      <c r="Z131" s="6">
        <v>1</v>
      </c>
      <c r="AA131" s="6">
        <v>0</v>
      </c>
      <c r="AB131" s="6">
        <v>0</v>
      </c>
      <c r="AC131" s="6">
        <v>1</v>
      </c>
      <c r="AD131" s="6">
        <v>1</v>
      </c>
      <c r="AE131" s="6">
        <v>0</v>
      </c>
      <c r="AF131" s="6">
        <v>0</v>
      </c>
      <c r="AG131" s="6">
        <v>0</v>
      </c>
      <c r="AH131" s="12">
        <v>1</v>
      </c>
      <c r="AI131" s="12">
        <v>0</v>
      </c>
      <c r="AJ131" s="12">
        <v>0</v>
      </c>
      <c r="AK131" s="6"/>
      <c r="AL131" s="6"/>
      <c r="AM131" s="6">
        <v>1</v>
      </c>
      <c r="AN131" s="6">
        <v>1</v>
      </c>
      <c r="AO131" s="6">
        <v>1</v>
      </c>
      <c r="AP131" s="6">
        <v>1</v>
      </c>
      <c r="AQ131" s="6">
        <v>1</v>
      </c>
      <c r="AR131" s="6">
        <v>0</v>
      </c>
      <c r="AS131" s="6">
        <v>1</v>
      </c>
      <c r="AT131" s="6">
        <v>0</v>
      </c>
      <c r="AU131" s="6">
        <v>0</v>
      </c>
      <c r="AV131" s="6">
        <v>0</v>
      </c>
      <c r="AW131" s="6">
        <v>1</v>
      </c>
      <c r="AX131" s="6">
        <v>1</v>
      </c>
      <c r="AY131" s="6">
        <v>0</v>
      </c>
      <c r="AZ131" s="6"/>
      <c r="BA131" s="6"/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/>
      <c r="BK131" s="6"/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11"/>
      <c r="BT131" s="11"/>
      <c r="BU131" s="6"/>
      <c r="BV131" s="6"/>
      <c r="BW131" s="6"/>
      <c r="BX131" s="6"/>
      <c r="BY131" s="6"/>
      <c r="BZ131" s="6"/>
      <c r="CA131" s="6"/>
      <c r="CB131" s="6"/>
    </row>
    <row r="132" spans="1:80" x14ac:dyDescent="0.25">
      <c r="A132" t="s">
        <v>90</v>
      </c>
      <c r="B132" s="3" t="s">
        <v>89</v>
      </c>
      <c r="C132" s="9">
        <v>-33489947</v>
      </c>
      <c r="D132" s="6">
        <v>-70632479</v>
      </c>
      <c r="E132" s="13" t="s">
        <v>258</v>
      </c>
      <c r="F132" s="5">
        <v>-334091432</v>
      </c>
      <c r="G132" s="5">
        <v>-70633429</v>
      </c>
      <c r="H132" s="5" t="s">
        <v>114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12"/>
      <c r="AI132" s="12"/>
      <c r="AJ132" s="12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11"/>
      <c r="BT132" s="11"/>
      <c r="BU132" s="6"/>
      <c r="BV132" s="6"/>
      <c r="BW132" s="6"/>
      <c r="BX132" s="6"/>
      <c r="BY132" s="6"/>
      <c r="BZ132" s="6"/>
      <c r="CA132" s="6"/>
      <c r="CB132" s="6"/>
    </row>
    <row r="133" spans="1:80" x14ac:dyDescent="0.25">
      <c r="A133" t="s">
        <v>90</v>
      </c>
      <c r="B133" s="3" t="s">
        <v>89</v>
      </c>
      <c r="C133" s="9">
        <v>-33489947</v>
      </c>
      <c r="D133" s="6">
        <v>-70632479</v>
      </c>
      <c r="E133" s="13" t="s">
        <v>259</v>
      </c>
      <c r="F133" s="5">
        <v>-33491423</v>
      </c>
      <c r="G133" s="5">
        <v>-70633539</v>
      </c>
      <c r="H133" s="5" t="s">
        <v>94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12"/>
      <c r="AI133" s="12"/>
      <c r="AJ133" s="12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1"/>
      <c r="BT133" s="11"/>
      <c r="BU133" s="6"/>
      <c r="BV133" s="6"/>
      <c r="BW133" s="6"/>
      <c r="BX133" s="6"/>
      <c r="BY133" s="6"/>
      <c r="BZ133" s="6"/>
      <c r="CA133" s="6"/>
      <c r="CB133" s="6"/>
    </row>
    <row r="134" spans="1:80" x14ac:dyDescent="0.25">
      <c r="A134" t="s">
        <v>90</v>
      </c>
      <c r="B134" s="3" t="s">
        <v>89</v>
      </c>
      <c r="C134" s="9">
        <v>-33489947</v>
      </c>
      <c r="D134" s="6">
        <v>-70632479</v>
      </c>
      <c r="E134" s="13" t="s">
        <v>260</v>
      </c>
      <c r="F134" s="5">
        <v>-33492730</v>
      </c>
      <c r="G134" s="5">
        <v>-70633353</v>
      </c>
      <c r="H134" s="5" t="s">
        <v>94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1</v>
      </c>
      <c r="P134" s="6">
        <v>0</v>
      </c>
      <c r="Q134" s="6">
        <v>1</v>
      </c>
      <c r="R134" s="6">
        <v>0</v>
      </c>
      <c r="S134" s="6">
        <v>1</v>
      </c>
      <c r="T134" s="6">
        <v>0</v>
      </c>
      <c r="U134" s="6">
        <v>0</v>
      </c>
      <c r="V134" s="6">
        <v>0</v>
      </c>
      <c r="W134" s="6">
        <v>1</v>
      </c>
      <c r="X134" s="6">
        <v>1</v>
      </c>
      <c r="Y134" s="6">
        <v>0</v>
      </c>
      <c r="Z134" s="6">
        <v>1</v>
      </c>
      <c r="AA134" s="6">
        <v>0</v>
      </c>
      <c r="AB134" s="6">
        <v>0</v>
      </c>
      <c r="AC134" s="6">
        <v>1</v>
      </c>
      <c r="AD134" s="6">
        <v>1</v>
      </c>
      <c r="AE134" s="6">
        <v>0</v>
      </c>
      <c r="AF134" s="6">
        <v>0</v>
      </c>
      <c r="AG134" s="6">
        <v>0</v>
      </c>
      <c r="AH134" s="12">
        <v>1</v>
      </c>
      <c r="AI134" s="12">
        <v>0</v>
      </c>
      <c r="AJ134" s="12">
        <v>0</v>
      </c>
      <c r="AK134" s="6"/>
      <c r="AL134" s="6"/>
      <c r="AM134" s="6">
        <v>1</v>
      </c>
      <c r="AN134" s="6">
        <v>1</v>
      </c>
      <c r="AO134" s="6">
        <v>1</v>
      </c>
      <c r="AP134" s="6">
        <v>1</v>
      </c>
      <c r="AQ134" s="6">
        <v>1</v>
      </c>
      <c r="AR134" s="6">
        <v>0</v>
      </c>
      <c r="AS134" s="6">
        <v>1</v>
      </c>
      <c r="AT134" s="6">
        <v>0</v>
      </c>
      <c r="AU134" s="6">
        <v>0</v>
      </c>
      <c r="AV134" s="6">
        <v>0</v>
      </c>
      <c r="AW134" s="6">
        <v>1</v>
      </c>
      <c r="AX134" s="6">
        <v>1</v>
      </c>
      <c r="AY134" s="6">
        <v>0</v>
      </c>
      <c r="AZ134" s="6"/>
      <c r="BA134" s="6"/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/>
      <c r="BK134" s="6"/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11"/>
      <c r="BT134" s="11"/>
      <c r="BU134" s="6"/>
      <c r="BV134" s="6"/>
      <c r="BW134" s="6"/>
      <c r="BX134" s="6"/>
      <c r="BY134" s="6"/>
      <c r="BZ134" s="6"/>
      <c r="CA134" s="6"/>
      <c r="CB134" s="6"/>
    </row>
    <row r="135" spans="1:80" x14ac:dyDescent="0.25">
      <c r="A135" t="s">
        <v>90</v>
      </c>
      <c r="B135" s="3" t="s">
        <v>89</v>
      </c>
      <c r="C135" s="9">
        <v>-33489947</v>
      </c>
      <c r="D135" s="6">
        <v>-70632479</v>
      </c>
      <c r="E135" s="13" t="s">
        <v>261</v>
      </c>
      <c r="F135" s="5">
        <v>-33493100</v>
      </c>
      <c r="G135" s="5">
        <v>-70633447</v>
      </c>
      <c r="H135" s="5" t="s">
        <v>262</v>
      </c>
      <c r="I135" s="6">
        <v>1</v>
      </c>
      <c r="J135" s="6">
        <v>0</v>
      </c>
      <c r="K135" s="6">
        <v>0</v>
      </c>
      <c r="L135" s="6">
        <v>0</v>
      </c>
      <c r="M135" s="6">
        <v>1</v>
      </c>
      <c r="N135" s="6">
        <v>1</v>
      </c>
      <c r="O135" s="6">
        <v>1</v>
      </c>
      <c r="P135" s="6">
        <v>0</v>
      </c>
      <c r="Q135" s="6">
        <v>1</v>
      </c>
      <c r="R135" s="6">
        <v>0</v>
      </c>
      <c r="S135" s="6">
        <v>1</v>
      </c>
      <c r="T135" s="6"/>
      <c r="U135" s="6">
        <v>0</v>
      </c>
      <c r="V135" s="6">
        <v>0</v>
      </c>
      <c r="W135" s="6">
        <v>0</v>
      </c>
      <c r="X135" s="6">
        <v>1</v>
      </c>
      <c r="Y135" s="6">
        <v>0</v>
      </c>
      <c r="Z135" s="6">
        <v>0</v>
      </c>
      <c r="AA135" s="6">
        <v>0</v>
      </c>
      <c r="AB135" s="6">
        <v>0</v>
      </c>
      <c r="AC135" s="6">
        <v>1</v>
      </c>
      <c r="AD135" s="6">
        <v>1</v>
      </c>
      <c r="AE135" s="6">
        <v>0</v>
      </c>
      <c r="AF135" s="6">
        <v>0</v>
      </c>
      <c r="AG135" s="6">
        <v>0</v>
      </c>
      <c r="AH135" s="12">
        <v>1</v>
      </c>
      <c r="AI135" s="12">
        <v>0</v>
      </c>
      <c r="AJ135" s="12">
        <v>0</v>
      </c>
      <c r="AK135" s="6"/>
      <c r="AL135" s="6"/>
      <c r="AM135" s="6">
        <v>1</v>
      </c>
      <c r="AN135" s="6">
        <v>1</v>
      </c>
      <c r="AO135" s="6">
        <v>1</v>
      </c>
      <c r="AP135" s="6">
        <v>1</v>
      </c>
      <c r="AQ135" s="6">
        <v>1</v>
      </c>
      <c r="AR135" s="6">
        <v>0</v>
      </c>
      <c r="AS135" s="6">
        <v>1</v>
      </c>
      <c r="AT135" s="6">
        <v>0</v>
      </c>
      <c r="AU135" s="6">
        <v>0</v>
      </c>
      <c r="AV135" s="6">
        <v>0</v>
      </c>
      <c r="AW135" s="6">
        <v>1</v>
      </c>
      <c r="AX135" s="6">
        <v>1</v>
      </c>
      <c r="AY135" s="6">
        <v>0</v>
      </c>
      <c r="AZ135" s="6"/>
      <c r="BA135" s="6"/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/>
      <c r="BK135" s="6"/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11"/>
      <c r="BT135" s="11"/>
      <c r="BU135" s="6"/>
      <c r="BV135" s="6"/>
      <c r="BW135" s="6"/>
      <c r="BX135" s="6"/>
      <c r="BY135" s="6"/>
      <c r="BZ135" s="6"/>
      <c r="CA135" s="6"/>
      <c r="CB135" s="6"/>
    </row>
    <row r="136" spans="1:80" x14ac:dyDescent="0.25">
      <c r="A136" t="s">
        <v>90</v>
      </c>
      <c r="B136" s="3" t="s">
        <v>89</v>
      </c>
      <c r="C136" s="9">
        <v>-33489947</v>
      </c>
      <c r="D136" s="6">
        <v>-70632479</v>
      </c>
      <c r="E136" s="13" t="s">
        <v>263</v>
      </c>
      <c r="F136" s="5">
        <v>-33493191</v>
      </c>
      <c r="G136" s="5">
        <v>-70631652</v>
      </c>
      <c r="H136" s="5" t="s">
        <v>94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1</v>
      </c>
      <c r="P136" s="6">
        <v>0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0</v>
      </c>
      <c r="W136" s="6">
        <v>1</v>
      </c>
      <c r="X136" s="6">
        <v>1</v>
      </c>
      <c r="Y136" s="6">
        <v>0</v>
      </c>
      <c r="Z136" s="6">
        <v>1</v>
      </c>
      <c r="AA136" s="6">
        <v>0</v>
      </c>
      <c r="AB136" s="6">
        <v>0</v>
      </c>
      <c r="AC136" s="6">
        <v>1</v>
      </c>
      <c r="AD136" s="6">
        <v>1</v>
      </c>
      <c r="AE136" s="6">
        <v>0</v>
      </c>
      <c r="AF136" s="6">
        <v>0</v>
      </c>
      <c r="AG136" s="6">
        <v>0</v>
      </c>
      <c r="AH136" s="12">
        <v>1</v>
      </c>
      <c r="AI136" s="12">
        <v>0</v>
      </c>
      <c r="AJ136" s="12">
        <v>0</v>
      </c>
      <c r="AK136" s="6"/>
      <c r="AL136" s="6"/>
      <c r="AM136" s="6">
        <v>1</v>
      </c>
      <c r="AN136" s="6">
        <v>1</v>
      </c>
      <c r="AO136" s="6">
        <v>1</v>
      </c>
      <c r="AP136" s="6">
        <v>1</v>
      </c>
      <c r="AQ136" s="6">
        <v>1</v>
      </c>
      <c r="AR136" s="6">
        <v>0</v>
      </c>
      <c r="AS136" s="6">
        <v>1</v>
      </c>
      <c r="AT136" s="6">
        <v>0</v>
      </c>
      <c r="AU136" s="6">
        <v>0</v>
      </c>
      <c r="AV136" s="6">
        <v>0</v>
      </c>
      <c r="AW136" s="6">
        <v>1</v>
      </c>
      <c r="AX136" s="6">
        <v>0</v>
      </c>
      <c r="AY136" s="6">
        <v>0</v>
      </c>
      <c r="AZ136" s="6"/>
      <c r="BA136" s="6"/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/>
      <c r="BK136" s="6"/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11"/>
      <c r="BT136" s="11"/>
      <c r="BU136" s="6"/>
      <c r="BV136" s="6"/>
      <c r="BW136" s="6"/>
      <c r="BX136" s="6"/>
      <c r="BY136" s="6"/>
      <c r="BZ136" s="6"/>
      <c r="CA136" s="6"/>
      <c r="CB136" s="6"/>
    </row>
    <row r="137" spans="1:80" x14ac:dyDescent="0.25">
      <c r="A137" t="s">
        <v>90</v>
      </c>
      <c r="B137" s="3" t="s">
        <v>89</v>
      </c>
      <c r="C137" s="9">
        <v>-33489947</v>
      </c>
      <c r="D137" s="6">
        <v>-70632479</v>
      </c>
      <c r="E137" s="13" t="s">
        <v>264</v>
      </c>
      <c r="F137" s="5">
        <v>-33493102</v>
      </c>
      <c r="G137" s="5">
        <v>-70631174</v>
      </c>
      <c r="H137" s="5" t="s">
        <v>179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1</v>
      </c>
      <c r="S137" s="6">
        <v>1</v>
      </c>
      <c r="T137" s="6">
        <v>0</v>
      </c>
      <c r="U137" s="6">
        <v>1</v>
      </c>
      <c r="V137" s="6">
        <v>0</v>
      </c>
      <c r="W137" s="6">
        <v>1</v>
      </c>
      <c r="X137" s="6">
        <v>1</v>
      </c>
      <c r="Y137" s="6">
        <v>0</v>
      </c>
      <c r="Z137" s="6">
        <v>0</v>
      </c>
      <c r="AA137" s="6">
        <v>0</v>
      </c>
      <c r="AB137" s="6">
        <v>0</v>
      </c>
      <c r="AC137" s="6">
        <v>1</v>
      </c>
      <c r="AD137" s="6">
        <v>1</v>
      </c>
      <c r="AE137" s="6">
        <v>0</v>
      </c>
      <c r="AF137" s="6">
        <v>0</v>
      </c>
      <c r="AG137" s="6">
        <v>0</v>
      </c>
      <c r="AH137" s="12">
        <v>1</v>
      </c>
      <c r="AI137" s="12">
        <v>0</v>
      </c>
      <c r="AJ137" s="12">
        <v>0</v>
      </c>
      <c r="AK137" s="6"/>
      <c r="AL137" s="6"/>
      <c r="AM137" s="6">
        <v>1</v>
      </c>
      <c r="AN137" s="6">
        <v>1</v>
      </c>
      <c r="AO137" s="6">
        <v>1</v>
      </c>
      <c r="AP137" s="6">
        <v>1</v>
      </c>
      <c r="AQ137" s="6">
        <v>1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1</v>
      </c>
      <c r="AX137" s="6">
        <v>0</v>
      </c>
      <c r="AY137" s="6">
        <v>0</v>
      </c>
      <c r="AZ137" s="6"/>
      <c r="BA137" s="6"/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1</v>
      </c>
      <c r="BH137" s="6">
        <v>0</v>
      </c>
      <c r="BI137" s="6">
        <v>0</v>
      </c>
      <c r="BJ137" s="6"/>
      <c r="BK137" s="6"/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11"/>
      <c r="BT137" s="11"/>
      <c r="BU137" s="6"/>
      <c r="BV137" s="6"/>
      <c r="BW137" s="6"/>
      <c r="BX137" s="6"/>
      <c r="BY137" s="6"/>
      <c r="BZ137" s="6"/>
      <c r="CA137" s="6"/>
      <c r="CB137" s="6"/>
    </row>
    <row r="138" spans="1:80" x14ac:dyDescent="0.25">
      <c r="A138" t="s">
        <v>90</v>
      </c>
      <c r="B138" s="3" t="s">
        <v>89</v>
      </c>
      <c r="C138" s="9">
        <v>-33489947</v>
      </c>
      <c r="D138" s="6">
        <v>-70632479</v>
      </c>
      <c r="E138" s="14" t="s">
        <v>265</v>
      </c>
      <c r="F138" s="5">
        <v>-33493116</v>
      </c>
      <c r="G138" s="5">
        <v>-70631001</v>
      </c>
      <c r="H138" s="5" t="s">
        <v>94</v>
      </c>
      <c r="I138" s="6">
        <v>1</v>
      </c>
      <c r="J138" s="6">
        <v>0</v>
      </c>
      <c r="K138" s="6">
        <v>1</v>
      </c>
      <c r="L138" s="6">
        <v>0</v>
      </c>
      <c r="M138" s="6">
        <v>1</v>
      </c>
      <c r="N138" s="6">
        <v>0</v>
      </c>
      <c r="O138" s="6">
        <v>1</v>
      </c>
      <c r="P138" s="6">
        <v>0</v>
      </c>
      <c r="Q138" s="6">
        <v>1</v>
      </c>
      <c r="R138" s="6">
        <v>0</v>
      </c>
      <c r="S138" s="6">
        <v>1</v>
      </c>
      <c r="T138" s="6">
        <v>1</v>
      </c>
      <c r="U138" s="6">
        <v>1</v>
      </c>
      <c r="V138" s="6">
        <v>0</v>
      </c>
      <c r="W138" s="6">
        <v>1</v>
      </c>
      <c r="X138" s="6">
        <v>1</v>
      </c>
      <c r="Y138" s="6">
        <v>0</v>
      </c>
      <c r="Z138" s="6">
        <v>1</v>
      </c>
      <c r="AA138" s="6">
        <v>0</v>
      </c>
      <c r="AB138" s="6">
        <v>0</v>
      </c>
      <c r="AC138" s="6">
        <v>1</v>
      </c>
      <c r="AD138" s="6">
        <v>1</v>
      </c>
      <c r="AE138" s="6">
        <v>0</v>
      </c>
      <c r="AF138" s="6">
        <v>0</v>
      </c>
      <c r="AG138" s="6">
        <v>0</v>
      </c>
      <c r="AH138" s="12">
        <v>1</v>
      </c>
      <c r="AI138" s="12">
        <v>0</v>
      </c>
      <c r="AJ138" s="12">
        <v>0</v>
      </c>
      <c r="AK138" s="6"/>
      <c r="AL138" s="6"/>
      <c r="AM138" s="6">
        <v>1</v>
      </c>
      <c r="AN138" s="6">
        <v>1</v>
      </c>
      <c r="AO138" s="6">
        <v>1</v>
      </c>
      <c r="AP138" s="6">
        <v>1</v>
      </c>
      <c r="AQ138" s="6">
        <v>1</v>
      </c>
      <c r="AR138" s="6">
        <v>1</v>
      </c>
      <c r="AS138" s="6">
        <v>1</v>
      </c>
      <c r="AT138" s="6">
        <v>0</v>
      </c>
      <c r="AU138" s="6">
        <v>0</v>
      </c>
      <c r="AV138" s="6">
        <v>0</v>
      </c>
      <c r="AW138" s="6">
        <v>1</v>
      </c>
      <c r="AX138" s="6">
        <v>1</v>
      </c>
      <c r="AY138" s="6">
        <v>0</v>
      </c>
      <c r="AZ138" s="6"/>
      <c r="BA138" s="6"/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/>
      <c r="BK138" s="6"/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11"/>
      <c r="BT138" s="11"/>
      <c r="BU138" s="6"/>
      <c r="BV138" s="6"/>
      <c r="BW138" s="6"/>
      <c r="BX138" s="6"/>
      <c r="BY138" s="6"/>
      <c r="BZ138" s="6"/>
      <c r="CA138" s="6"/>
      <c r="CB138" s="6"/>
    </row>
    <row r="139" spans="1:80" x14ac:dyDescent="0.25">
      <c r="A139" t="s">
        <v>90</v>
      </c>
      <c r="B139" s="3" t="s">
        <v>89</v>
      </c>
      <c r="C139" s="9">
        <v>-33489947</v>
      </c>
      <c r="D139" s="6">
        <v>-70632479</v>
      </c>
      <c r="E139" s="14" t="s">
        <v>266</v>
      </c>
      <c r="F139" s="5">
        <v>-33492534</v>
      </c>
      <c r="G139" s="5">
        <v>-70631098</v>
      </c>
      <c r="H139" s="5" t="s">
        <v>94</v>
      </c>
      <c r="I139" s="6">
        <v>1</v>
      </c>
      <c r="J139" s="6">
        <v>0</v>
      </c>
      <c r="K139" s="6">
        <v>1</v>
      </c>
      <c r="L139" s="6">
        <v>0</v>
      </c>
      <c r="M139" s="6">
        <v>1</v>
      </c>
      <c r="N139" s="6">
        <v>0</v>
      </c>
      <c r="O139" s="6">
        <v>1</v>
      </c>
      <c r="P139" s="6">
        <v>0</v>
      </c>
      <c r="Q139" s="6">
        <v>1</v>
      </c>
      <c r="R139" s="6">
        <v>0</v>
      </c>
      <c r="S139" s="6">
        <v>1</v>
      </c>
      <c r="T139" s="6">
        <v>0</v>
      </c>
      <c r="U139" s="6">
        <v>1</v>
      </c>
      <c r="V139" s="6">
        <v>0</v>
      </c>
      <c r="W139" s="6">
        <v>1</v>
      </c>
      <c r="X139" s="6">
        <v>1</v>
      </c>
      <c r="Y139" s="6">
        <v>0</v>
      </c>
      <c r="Z139" s="6">
        <v>0</v>
      </c>
      <c r="AA139" s="6">
        <v>0</v>
      </c>
      <c r="AB139" s="6">
        <v>0</v>
      </c>
      <c r="AC139" s="6">
        <v>1</v>
      </c>
      <c r="AD139" s="6">
        <v>0</v>
      </c>
      <c r="AE139" s="6">
        <v>0</v>
      </c>
      <c r="AF139" s="6">
        <v>0</v>
      </c>
      <c r="AG139" s="6">
        <v>0</v>
      </c>
      <c r="AH139" s="12">
        <v>1</v>
      </c>
      <c r="AI139" s="12">
        <v>0</v>
      </c>
      <c r="AJ139" s="12">
        <v>0</v>
      </c>
      <c r="AK139" s="6"/>
      <c r="AL139" s="6"/>
      <c r="AM139" s="6">
        <v>1</v>
      </c>
      <c r="AN139" s="6">
        <v>1</v>
      </c>
      <c r="AO139" s="6">
        <v>1</v>
      </c>
      <c r="AP139" s="6">
        <v>1</v>
      </c>
      <c r="AQ139" s="6">
        <v>1</v>
      </c>
      <c r="AR139" s="6">
        <v>0</v>
      </c>
      <c r="AS139" s="6">
        <v>1</v>
      </c>
      <c r="AT139" s="6">
        <v>0</v>
      </c>
      <c r="AU139" s="6">
        <v>0</v>
      </c>
      <c r="AV139" s="6">
        <v>0</v>
      </c>
      <c r="AW139" s="6">
        <v>1</v>
      </c>
      <c r="AX139" s="6">
        <v>0</v>
      </c>
      <c r="AY139" s="6">
        <v>0</v>
      </c>
      <c r="AZ139" s="6"/>
      <c r="BA139" s="6"/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/>
      <c r="BK139" s="6"/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11"/>
      <c r="BT139" s="11"/>
      <c r="BU139" s="6"/>
      <c r="BV139" s="6"/>
      <c r="BW139" s="6"/>
      <c r="BX139" s="6"/>
      <c r="BY139" s="6"/>
      <c r="BZ139" s="6"/>
      <c r="CA139" s="6"/>
      <c r="CB139" s="6"/>
    </row>
    <row r="140" spans="1:80" x14ac:dyDescent="0.25">
      <c r="A140" t="s">
        <v>90</v>
      </c>
      <c r="B140" s="3" t="s">
        <v>89</v>
      </c>
      <c r="C140" s="9">
        <v>-33489947</v>
      </c>
      <c r="D140" s="6">
        <v>-70632479</v>
      </c>
      <c r="E140" s="14" t="s">
        <v>267</v>
      </c>
      <c r="F140" s="5">
        <v>-33492225</v>
      </c>
      <c r="G140" s="5">
        <v>-70630651</v>
      </c>
      <c r="H140" s="5" t="s">
        <v>268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12">
        <v>0</v>
      </c>
      <c r="AI140" s="12">
        <v>0</v>
      </c>
      <c r="AJ140" s="12">
        <v>0</v>
      </c>
      <c r="AK140" s="6"/>
      <c r="AL140" s="6"/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1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/>
      <c r="BA140" s="6"/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/>
      <c r="BK140" s="6"/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11"/>
      <c r="BT140" s="11"/>
      <c r="BU140" s="6"/>
      <c r="BV140" s="6"/>
      <c r="BW140" s="6"/>
      <c r="BX140" s="6"/>
      <c r="BY140" s="6"/>
      <c r="BZ140" s="6"/>
      <c r="CA140" s="6"/>
      <c r="CB140" s="6"/>
    </row>
    <row r="141" spans="1:80" x14ac:dyDescent="0.25">
      <c r="A141" t="s">
        <v>90</v>
      </c>
      <c r="B141" s="3" t="s">
        <v>89</v>
      </c>
      <c r="C141" s="9">
        <v>-33489947</v>
      </c>
      <c r="D141" s="6">
        <v>-70632479</v>
      </c>
      <c r="E141" s="14" t="s">
        <v>269</v>
      </c>
      <c r="F141" s="5">
        <v>-33491644</v>
      </c>
      <c r="G141" s="5">
        <v>-70631165</v>
      </c>
      <c r="H141" s="5" t="s">
        <v>94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1</v>
      </c>
      <c r="R141" s="6">
        <v>0</v>
      </c>
      <c r="S141" s="6">
        <v>1</v>
      </c>
      <c r="T141" s="6">
        <v>0</v>
      </c>
      <c r="U141" s="6">
        <v>0</v>
      </c>
      <c r="V141" s="6">
        <v>0</v>
      </c>
      <c r="W141" s="6">
        <v>1</v>
      </c>
      <c r="X141" s="6">
        <v>1</v>
      </c>
      <c r="Y141" s="6">
        <v>0</v>
      </c>
      <c r="Z141" s="6">
        <v>0</v>
      </c>
      <c r="AA141" s="6">
        <v>0</v>
      </c>
      <c r="AB141" s="6">
        <v>0</v>
      </c>
      <c r="AC141" s="6">
        <v>1</v>
      </c>
      <c r="AD141" s="6">
        <v>1</v>
      </c>
      <c r="AE141" s="6">
        <v>0</v>
      </c>
      <c r="AF141" s="6">
        <v>0</v>
      </c>
      <c r="AG141" s="6">
        <v>0</v>
      </c>
      <c r="AH141" s="12">
        <v>1</v>
      </c>
      <c r="AI141" s="12">
        <v>0</v>
      </c>
      <c r="AJ141" s="12">
        <v>0</v>
      </c>
      <c r="AK141" s="6"/>
      <c r="AL141" s="6"/>
      <c r="AM141" s="6">
        <v>1</v>
      </c>
      <c r="AN141" s="6">
        <v>1</v>
      </c>
      <c r="AO141" s="6">
        <v>1</v>
      </c>
      <c r="AP141" s="6">
        <v>1</v>
      </c>
      <c r="AQ141" s="6">
        <v>1</v>
      </c>
      <c r="AR141" s="6">
        <v>0</v>
      </c>
      <c r="AS141" s="6">
        <v>1</v>
      </c>
      <c r="AT141" s="6">
        <v>1</v>
      </c>
      <c r="AU141" s="6">
        <v>0</v>
      </c>
      <c r="AV141" s="6">
        <v>0</v>
      </c>
      <c r="AW141" s="6">
        <v>1</v>
      </c>
      <c r="AX141" s="6">
        <v>1</v>
      </c>
      <c r="AY141" s="6">
        <v>0</v>
      </c>
      <c r="AZ141" s="6"/>
      <c r="BA141" s="6"/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/>
      <c r="BK141" s="6"/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11"/>
      <c r="BT141" s="11"/>
      <c r="BU141" s="6"/>
      <c r="BV141" s="6"/>
      <c r="BW141" s="6"/>
      <c r="BX141" s="6"/>
      <c r="BY141" s="6"/>
      <c r="BZ141" s="6"/>
      <c r="CA141" s="6"/>
      <c r="CB141" s="6"/>
    </row>
    <row r="142" spans="1:80" x14ac:dyDescent="0.25">
      <c r="A142" t="s">
        <v>90</v>
      </c>
      <c r="B142" s="3" t="s">
        <v>89</v>
      </c>
      <c r="C142" s="9">
        <v>-33489947</v>
      </c>
      <c r="D142" s="6">
        <v>-70632479</v>
      </c>
      <c r="E142" s="13" t="s">
        <v>270</v>
      </c>
      <c r="F142" s="5">
        <v>-33491579</v>
      </c>
      <c r="G142" s="5">
        <v>-70631135</v>
      </c>
      <c r="H142" s="5" t="s">
        <v>96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1</v>
      </c>
      <c r="AE142" s="6">
        <v>0</v>
      </c>
      <c r="AF142" s="6">
        <v>1</v>
      </c>
      <c r="AG142" s="6">
        <v>1</v>
      </c>
      <c r="AH142" s="12">
        <v>0</v>
      </c>
      <c r="AI142" s="12">
        <v>0</v>
      </c>
      <c r="AJ142" s="12">
        <v>0</v>
      </c>
      <c r="AK142" s="6"/>
      <c r="AL142" s="6"/>
      <c r="AM142" s="6">
        <v>1</v>
      </c>
      <c r="AN142" s="6">
        <v>1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1</v>
      </c>
      <c r="AX142" s="6">
        <v>1</v>
      </c>
      <c r="AY142" s="6">
        <v>0</v>
      </c>
      <c r="AZ142" s="6"/>
      <c r="BA142" s="6"/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/>
      <c r="BK142" s="6"/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11"/>
      <c r="BT142" s="11"/>
      <c r="BU142" s="6"/>
      <c r="BV142" s="6"/>
      <c r="BW142" s="6"/>
      <c r="BX142" s="6"/>
      <c r="BY142" s="6"/>
      <c r="BZ142" s="6"/>
      <c r="CA142" s="6"/>
      <c r="CB142" s="6"/>
    </row>
    <row r="143" spans="1:80" x14ac:dyDescent="0.25">
      <c r="A143" t="s">
        <v>90</v>
      </c>
      <c r="B143" s="3" t="s">
        <v>89</v>
      </c>
      <c r="C143" s="9">
        <v>-33489947</v>
      </c>
      <c r="D143" s="6">
        <v>-70632479</v>
      </c>
      <c r="E143" s="13" t="s">
        <v>271</v>
      </c>
      <c r="F143" s="5">
        <v>-33490904</v>
      </c>
      <c r="G143" s="5">
        <v>-70631296</v>
      </c>
      <c r="H143" s="5" t="s">
        <v>210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1</v>
      </c>
      <c r="O143" s="6">
        <v>1</v>
      </c>
      <c r="P143" s="6">
        <v>0</v>
      </c>
      <c r="Q143" s="6">
        <v>1</v>
      </c>
      <c r="R143" s="6">
        <v>0</v>
      </c>
      <c r="S143" s="6">
        <v>1</v>
      </c>
      <c r="T143" s="6">
        <v>1</v>
      </c>
      <c r="U143" s="6">
        <v>1</v>
      </c>
      <c r="V143" s="6">
        <v>0</v>
      </c>
      <c r="W143" s="6">
        <v>1</v>
      </c>
      <c r="X143" s="6">
        <v>1</v>
      </c>
      <c r="Y143" s="6">
        <v>0</v>
      </c>
      <c r="Z143" s="6">
        <v>0</v>
      </c>
      <c r="AA143" s="6">
        <v>0</v>
      </c>
      <c r="AB143" s="6">
        <v>0</v>
      </c>
      <c r="AC143" s="6">
        <v>1</v>
      </c>
      <c r="AD143" s="6">
        <v>1</v>
      </c>
      <c r="AE143" s="6">
        <v>0</v>
      </c>
      <c r="AF143" s="6">
        <v>0</v>
      </c>
      <c r="AG143" s="6">
        <v>0</v>
      </c>
      <c r="AH143" s="12">
        <v>1</v>
      </c>
      <c r="AI143" s="12">
        <v>0</v>
      </c>
      <c r="AJ143" s="12">
        <v>0</v>
      </c>
      <c r="AK143" s="6"/>
      <c r="AL143" s="6"/>
      <c r="AM143" s="6">
        <v>1</v>
      </c>
      <c r="AN143" s="6">
        <v>1</v>
      </c>
      <c r="AO143" s="6">
        <v>1</v>
      </c>
      <c r="AP143" s="6">
        <v>1</v>
      </c>
      <c r="AQ143" s="6">
        <v>1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1</v>
      </c>
      <c r="AX143" s="6">
        <v>1</v>
      </c>
      <c r="AY143" s="6">
        <v>0</v>
      </c>
      <c r="AZ143" s="6"/>
      <c r="BA143" s="6"/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/>
      <c r="BK143" s="6"/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11"/>
      <c r="BT143" s="11"/>
      <c r="BU143" s="6"/>
      <c r="BV143" s="6"/>
      <c r="BW143" s="6"/>
      <c r="BX143" s="6"/>
      <c r="BY143" s="6"/>
      <c r="BZ143" s="6"/>
      <c r="CA143" s="6"/>
      <c r="CB143" s="6"/>
    </row>
    <row r="144" spans="1:80" x14ac:dyDescent="0.25">
      <c r="A144" t="s">
        <v>90</v>
      </c>
      <c r="B144" s="3" t="s">
        <v>89</v>
      </c>
      <c r="C144" s="9">
        <v>-33489947</v>
      </c>
      <c r="D144" s="6">
        <v>-70632479</v>
      </c>
      <c r="E144" s="13" t="s">
        <v>272</v>
      </c>
      <c r="F144" s="5">
        <v>-33490382</v>
      </c>
      <c r="G144" s="5">
        <v>-70631249</v>
      </c>
      <c r="H144" s="5" t="s">
        <v>273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 s="6">
        <v>1</v>
      </c>
      <c r="R144" s="6">
        <v>0</v>
      </c>
      <c r="S144" s="6">
        <v>1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1</v>
      </c>
      <c r="AB144" s="6">
        <v>0</v>
      </c>
      <c r="AC144" s="6">
        <v>1</v>
      </c>
      <c r="AD144" s="6">
        <v>1</v>
      </c>
      <c r="AE144" s="6">
        <v>0</v>
      </c>
      <c r="AF144" s="6">
        <v>1</v>
      </c>
      <c r="AG144" s="6">
        <v>1</v>
      </c>
      <c r="AH144" s="12">
        <v>0</v>
      </c>
      <c r="AI144" s="12">
        <v>0</v>
      </c>
      <c r="AJ144" s="12">
        <v>0</v>
      </c>
      <c r="AK144" s="6"/>
      <c r="AL144" s="6"/>
      <c r="AM144" s="6">
        <v>1</v>
      </c>
      <c r="AN144" s="6">
        <v>1</v>
      </c>
      <c r="AO144" s="6">
        <v>1</v>
      </c>
      <c r="AP144" s="6">
        <v>1</v>
      </c>
      <c r="AQ144" s="6">
        <v>1</v>
      </c>
      <c r="AR144" s="6">
        <v>1</v>
      </c>
      <c r="AS144" s="6">
        <v>1</v>
      </c>
      <c r="AT144" s="6">
        <v>1</v>
      </c>
      <c r="AU144" s="6">
        <v>1</v>
      </c>
      <c r="AV144" s="6">
        <v>0</v>
      </c>
      <c r="AW144" s="6">
        <v>1</v>
      </c>
      <c r="AX144" s="6">
        <v>1</v>
      </c>
      <c r="AY144" s="6">
        <v>0</v>
      </c>
      <c r="AZ144" s="6"/>
      <c r="BA144" s="6"/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/>
      <c r="BK144" s="6"/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11"/>
      <c r="BT144" s="11"/>
      <c r="BU144" s="6"/>
      <c r="BV144" s="6"/>
      <c r="BW144" s="6"/>
      <c r="BX144" s="6"/>
      <c r="BY144" s="6"/>
      <c r="BZ144" s="6"/>
      <c r="CA144" s="6"/>
      <c r="CB144" s="6"/>
    </row>
    <row r="145" spans="1:80" x14ac:dyDescent="0.25">
      <c r="A145" t="s">
        <v>90</v>
      </c>
      <c r="B145" s="3" t="s">
        <v>86</v>
      </c>
      <c r="C145" s="3">
        <v>-3353477</v>
      </c>
      <c r="D145" s="3">
        <v>-7061624</v>
      </c>
      <c r="E145" s="3" t="s">
        <v>274</v>
      </c>
      <c r="F145" s="5">
        <v>-33535484</v>
      </c>
      <c r="G145" s="5">
        <v>-70616727</v>
      </c>
      <c r="H145" s="5" t="s">
        <v>94</v>
      </c>
      <c r="I145" s="6">
        <v>1</v>
      </c>
      <c r="J145" s="6">
        <v>0</v>
      </c>
      <c r="K145" s="6">
        <v>0</v>
      </c>
      <c r="L145" s="6">
        <v>1</v>
      </c>
      <c r="M145" s="6">
        <v>1</v>
      </c>
      <c r="N145" s="6">
        <v>1</v>
      </c>
      <c r="O145" s="6">
        <v>1</v>
      </c>
      <c r="P145" s="6">
        <v>0</v>
      </c>
      <c r="Q145" s="6">
        <v>1</v>
      </c>
      <c r="R145" s="6">
        <v>1</v>
      </c>
      <c r="S145" s="6">
        <v>0</v>
      </c>
      <c r="T145" s="6">
        <v>0</v>
      </c>
      <c r="U145" s="6">
        <v>0</v>
      </c>
      <c r="V145" s="6">
        <v>0</v>
      </c>
      <c r="W145" s="6">
        <v>1</v>
      </c>
      <c r="X145" s="6">
        <v>1</v>
      </c>
      <c r="Y145" s="6">
        <v>1</v>
      </c>
      <c r="Z145" s="6">
        <v>1</v>
      </c>
      <c r="AA145" s="6">
        <v>0</v>
      </c>
      <c r="AB145" s="6">
        <v>0</v>
      </c>
      <c r="AC145" s="6">
        <v>1</v>
      </c>
      <c r="AD145" s="6">
        <v>1</v>
      </c>
      <c r="AE145" s="6">
        <v>0</v>
      </c>
      <c r="AF145" s="6">
        <v>0</v>
      </c>
      <c r="AG145" s="6">
        <v>1</v>
      </c>
      <c r="AH145" s="12">
        <v>1</v>
      </c>
      <c r="AI145" s="12">
        <v>1</v>
      </c>
      <c r="AJ145" s="12">
        <v>1</v>
      </c>
      <c r="AK145" s="6"/>
      <c r="AL145" s="6"/>
      <c r="AM145" s="6">
        <v>1</v>
      </c>
      <c r="AN145" s="6">
        <v>1</v>
      </c>
      <c r="AO145" s="6">
        <v>1</v>
      </c>
      <c r="AP145" s="6">
        <v>1</v>
      </c>
      <c r="AQ145" s="6">
        <v>1</v>
      </c>
      <c r="AR145" s="6">
        <v>1</v>
      </c>
      <c r="AS145" s="6">
        <v>0</v>
      </c>
      <c r="AT145" s="6">
        <v>1</v>
      </c>
      <c r="AU145" s="6">
        <v>0</v>
      </c>
      <c r="AV145" s="6">
        <v>0</v>
      </c>
      <c r="AW145" s="6">
        <v>0</v>
      </c>
      <c r="AX145" s="6">
        <v>1</v>
      </c>
      <c r="AY145" s="6">
        <v>1</v>
      </c>
      <c r="AZ145" s="6"/>
      <c r="BA145" s="6"/>
      <c r="BB145" s="6">
        <v>0</v>
      </c>
      <c r="BC145" s="6">
        <v>1</v>
      </c>
      <c r="BD145" s="6">
        <v>1</v>
      </c>
      <c r="BE145" s="6">
        <v>0</v>
      </c>
      <c r="BF145" s="6">
        <v>1</v>
      </c>
      <c r="BG145" s="6">
        <v>1</v>
      </c>
      <c r="BH145" s="6">
        <v>1</v>
      </c>
      <c r="BI145" s="6">
        <v>1</v>
      </c>
      <c r="BJ145" s="6"/>
      <c r="BK145" s="6"/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11"/>
      <c r="BT145" s="11"/>
      <c r="BU145" s="6"/>
      <c r="BV145" s="6"/>
      <c r="BW145" s="6"/>
      <c r="BX145" s="6"/>
      <c r="BY145" s="6"/>
      <c r="BZ145" s="6"/>
      <c r="CA145" s="6"/>
      <c r="CB145" s="6"/>
    </row>
    <row r="146" spans="1:80" x14ac:dyDescent="0.25">
      <c r="A146" t="s">
        <v>90</v>
      </c>
      <c r="B146" s="3" t="s">
        <v>86</v>
      </c>
      <c r="C146" s="3">
        <v>-3353477</v>
      </c>
      <c r="D146" s="3">
        <v>-7061624</v>
      </c>
      <c r="E146" s="3" t="s">
        <v>275</v>
      </c>
      <c r="F146" s="5">
        <v>-33535929</v>
      </c>
      <c r="G146" s="5">
        <v>-70616693</v>
      </c>
      <c r="H146" s="5" t="s">
        <v>96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1"/>
      <c r="BT146" s="11"/>
      <c r="BU146" s="6"/>
      <c r="BV146" s="6"/>
      <c r="BW146" s="6"/>
      <c r="BX146" s="6"/>
      <c r="BY146" s="6"/>
      <c r="BZ146" s="6"/>
      <c r="CA146" s="6"/>
      <c r="CB146" s="6"/>
    </row>
    <row r="147" spans="1:80" x14ac:dyDescent="0.25">
      <c r="A147" t="s">
        <v>90</v>
      </c>
      <c r="B147" s="3" t="s">
        <v>86</v>
      </c>
      <c r="C147" s="3">
        <v>-3353477</v>
      </c>
      <c r="D147" s="3">
        <v>-7061624</v>
      </c>
      <c r="E147" s="3" t="s">
        <v>276</v>
      </c>
      <c r="F147" s="5">
        <v>-33536670</v>
      </c>
      <c r="G147" s="5">
        <v>-70616464</v>
      </c>
      <c r="H147" s="5" t="s">
        <v>94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1</v>
      </c>
      <c r="P147" s="6">
        <v>0</v>
      </c>
      <c r="Q147" s="6">
        <v>1</v>
      </c>
      <c r="R147" s="6">
        <v>1</v>
      </c>
      <c r="S147" s="6">
        <v>0</v>
      </c>
      <c r="T147" s="6">
        <v>1</v>
      </c>
      <c r="U147" s="6">
        <v>0</v>
      </c>
      <c r="V147" s="6">
        <v>0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B147" s="6">
        <v>0</v>
      </c>
      <c r="AC147" s="6">
        <v>1</v>
      </c>
      <c r="AD147" s="6">
        <v>1</v>
      </c>
      <c r="AE147" s="6">
        <v>0</v>
      </c>
      <c r="AF147" s="6">
        <v>1</v>
      </c>
      <c r="AG147" s="6">
        <v>1</v>
      </c>
      <c r="AH147" s="12">
        <v>1</v>
      </c>
      <c r="AI147" s="12">
        <v>1</v>
      </c>
      <c r="AJ147" s="12">
        <v>1</v>
      </c>
      <c r="AK147" s="6"/>
      <c r="AL147" s="6"/>
      <c r="AM147" s="6">
        <v>1</v>
      </c>
      <c r="AN147" s="6">
        <v>1</v>
      </c>
      <c r="AO147" s="6">
        <v>1</v>
      </c>
      <c r="AP147" s="6">
        <v>1</v>
      </c>
      <c r="AQ147" s="6">
        <v>1</v>
      </c>
      <c r="AR147" s="6">
        <v>1</v>
      </c>
      <c r="AS147" s="6">
        <v>1</v>
      </c>
      <c r="AT147" s="6">
        <v>1</v>
      </c>
      <c r="AU147" s="6">
        <v>1</v>
      </c>
      <c r="AV147" s="6">
        <v>0</v>
      </c>
      <c r="AW147" s="6">
        <v>1</v>
      </c>
      <c r="AX147" s="6">
        <v>1</v>
      </c>
      <c r="AY147" s="6">
        <v>1</v>
      </c>
      <c r="AZ147" s="6"/>
      <c r="BA147" s="6"/>
      <c r="BB147" s="6">
        <v>0</v>
      </c>
      <c r="BC147" s="6">
        <v>0</v>
      </c>
      <c r="BD147" s="6">
        <v>0</v>
      </c>
      <c r="BE147" s="6">
        <v>0</v>
      </c>
      <c r="BF147" s="6">
        <v>1</v>
      </c>
      <c r="BG147" s="6">
        <v>0</v>
      </c>
      <c r="BH147" s="6">
        <v>1</v>
      </c>
      <c r="BI147" s="6">
        <v>1</v>
      </c>
      <c r="BJ147" s="6"/>
      <c r="BK147" s="6"/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11"/>
      <c r="BT147" s="11"/>
      <c r="BU147" s="6"/>
      <c r="BV147" s="6"/>
      <c r="BW147" s="6"/>
      <c r="BX147" s="6"/>
      <c r="BY147" s="6"/>
      <c r="BZ147" s="6"/>
      <c r="CA147" s="6"/>
      <c r="CB147" s="6"/>
    </row>
    <row r="148" spans="1:80" x14ac:dyDescent="0.25">
      <c r="A148" t="s">
        <v>90</v>
      </c>
      <c r="B148" s="3" t="s">
        <v>86</v>
      </c>
      <c r="C148" s="3">
        <v>-3353477</v>
      </c>
      <c r="D148" s="3">
        <v>-7061624</v>
      </c>
      <c r="E148" s="3" t="s">
        <v>277</v>
      </c>
      <c r="F148" s="5">
        <v>-33538404</v>
      </c>
      <c r="G148" s="5">
        <v>-70617274</v>
      </c>
      <c r="H148" s="5" t="s">
        <v>94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12"/>
      <c r="AI148" s="12"/>
      <c r="AJ148" s="12"/>
      <c r="AK148" s="6"/>
      <c r="AL148" s="6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6"/>
      <c r="BA148" s="6"/>
      <c r="BB148" s="3"/>
      <c r="BC148" s="3"/>
      <c r="BD148" s="3"/>
      <c r="BE148" s="3"/>
      <c r="BF148" s="3"/>
      <c r="BG148" s="3"/>
      <c r="BH148" s="3"/>
      <c r="BI148" s="3"/>
      <c r="BJ148" s="6"/>
      <c r="BK148" s="6"/>
      <c r="BL148" s="3"/>
      <c r="BM148" s="3"/>
      <c r="BN148" s="3"/>
      <c r="BO148" s="3"/>
      <c r="BP148" s="3"/>
      <c r="BQ148" s="3"/>
      <c r="BR148" s="3"/>
      <c r="BS148" s="11"/>
      <c r="BT148" s="11"/>
      <c r="BU148" s="6"/>
      <c r="BV148" s="6"/>
      <c r="BW148" s="6"/>
      <c r="BX148" s="6"/>
      <c r="BY148" s="6"/>
      <c r="BZ148" s="6"/>
      <c r="CA148" s="6"/>
      <c r="CB148" s="6"/>
    </row>
    <row r="149" spans="1:80" x14ac:dyDescent="0.25">
      <c r="A149" t="s">
        <v>90</v>
      </c>
      <c r="B149" s="3" t="s">
        <v>86</v>
      </c>
      <c r="C149" s="3">
        <v>-3353477</v>
      </c>
      <c r="D149" s="3">
        <v>-7061624</v>
      </c>
      <c r="E149" s="3" t="s">
        <v>278</v>
      </c>
      <c r="F149" s="5">
        <v>-33537714</v>
      </c>
      <c r="G149" s="5">
        <v>-70619090</v>
      </c>
      <c r="H149" s="5" t="s">
        <v>279</v>
      </c>
      <c r="I149" s="3">
        <v>0</v>
      </c>
      <c r="J149" s="6">
        <v>0</v>
      </c>
      <c r="K149" s="6">
        <v>0</v>
      </c>
      <c r="L149" s="6">
        <v>1</v>
      </c>
      <c r="M149" s="6">
        <v>0</v>
      </c>
      <c r="N149" s="6">
        <v>1</v>
      </c>
      <c r="O149" s="6">
        <v>1</v>
      </c>
      <c r="P149" s="6">
        <v>0</v>
      </c>
      <c r="Q149" s="6">
        <v>1</v>
      </c>
      <c r="R149" s="6">
        <v>1</v>
      </c>
      <c r="S149" s="6">
        <v>1</v>
      </c>
      <c r="T149" s="6">
        <v>0</v>
      </c>
      <c r="U149" s="6">
        <v>0</v>
      </c>
      <c r="V149" s="6">
        <v>0</v>
      </c>
      <c r="W149" s="6">
        <v>0</v>
      </c>
      <c r="X149" s="6">
        <v>1</v>
      </c>
      <c r="Y149" s="6">
        <v>1</v>
      </c>
      <c r="Z149" s="6">
        <v>1</v>
      </c>
      <c r="AA149" s="6">
        <v>1</v>
      </c>
      <c r="AB149" s="6">
        <v>0</v>
      </c>
      <c r="AC149" s="6">
        <v>1</v>
      </c>
      <c r="AD149" s="6">
        <v>1</v>
      </c>
      <c r="AE149" s="6">
        <v>0</v>
      </c>
      <c r="AF149" s="6">
        <v>1</v>
      </c>
      <c r="AG149" s="6">
        <v>1</v>
      </c>
      <c r="AH149" s="12">
        <v>1</v>
      </c>
      <c r="AI149" s="12">
        <v>0</v>
      </c>
      <c r="AJ149" s="12">
        <v>1</v>
      </c>
      <c r="AK149" s="6"/>
      <c r="AL149" s="6"/>
      <c r="AM149" s="3">
        <v>1</v>
      </c>
      <c r="AN149" s="3">
        <v>1</v>
      </c>
      <c r="AO149" s="3">
        <v>1</v>
      </c>
      <c r="AP149" s="3">
        <v>1</v>
      </c>
      <c r="AQ149" s="3">
        <v>0</v>
      </c>
      <c r="AR149" s="3">
        <v>0</v>
      </c>
      <c r="AS149" s="3">
        <v>0</v>
      </c>
      <c r="AT149" s="3">
        <v>1</v>
      </c>
      <c r="AU149" s="3">
        <v>0</v>
      </c>
      <c r="AV149" s="3">
        <v>0</v>
      </c>
      <c r="AW149" s="3">
        <v>1</v>
      </c>
      <c r="AX149" s="3">
        <v>1</v>
      </c>
      <c r="AY149" s="3">
        <v>0</v>
      </c>
      <c r="AZ149" s="6"/>
      <c r="BA149" s="6"/>
      <c r="BB149" s="3">
        <v>0</v>
      </c>
      <c r="BC149" s="3">
        <v>0</v>
      </c>
      <c r="BD149" s="3">
        <v>1</v>
      </c>
      <c r="BE149" s="3">
        <v>1</v>
      </c>
      <c r="BF149" s="3">
        <v>0</v>
      </c>
      <c r="BG149" s="3">
        <v>0</v>
      </c>
      <c r="BH149" s="3">
        <v>0</v>
      </c>
      <c r="BI149" s="3">
        <v>1</v>
      </c>
      <c r="BJ149" s="6"/>
      <c r="BK149" s="6"/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11"/>
      <c r="BT149" s="11"/>
      <c r="BU149" s="6"/>
      <c r="BV149" s="6"/>
      <c r="BW149" s="6"/>
      <c r="BX149" s="6"/>
      <c r="BY149" s="6"/>
      <c r="BZ149" s="6"/>
      <c r="CA149" s="6"/>
      <c r="CB149" s="6"/>
    </row>
    <row r="150" spans="1:80" x14ac:dyDescent="0.25">
      <c r="A150" t="s">
        <v>90</v>
      </c>
      <c r="B150" s="3" t="s">
        <v>86</v>
      </c>
      <c r="C150" s="3">
        <v>-3353477</v>
      </c>
      <c r="D150" s="3">
        <v>-7061624</v>
      </c>
      <c r="E150" s="3" t="s">
        <v>280</v>
      </c>
      <c r="F150" s="5">
        <v>-33537633</v>
      </c>
      <c r="G150" s="5">
        <v>-70619609</v>
      </c>
      <c r="H150" s="5" t="s">
        <v>94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12"/>
      <c r="AI150" s="12"/>
      <c r="AJ150" s="12"/>
      <c r="AK150" s="6"/>
      <c r="AL150" s="6"/>
      <c r="AM150" s="6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6"/>
      <c r="BA150" s="6"/>
      <c r="BB150" s="3"/>
      <c r="BC150" s="3"/>
      <c r="BD150" s="3"/>
      <c r="BE150" s="3"/>
      <c r="BF150" s="3"/>
      <c r="BG150" s="3"/>
      <c r="BH150" s="3"/>
      <c r="BI150" s="3"/>
      <c r="BJ150" s="6"/>
      <c r="BK150" s="6"/>
      <c r="BL150" s="3"/>
      <c r="BM150" s="3"/>
      <c r="BN150" s="3"/>
      <c r="BO150" s="3"/>
      <c r="BP150" s="3"/>
      <c r="BQ150" s="3"/>
      <c r="BR150" s="3"/>
      <c r="BS150" s="11"/>
      <c r="BT150" s="11"/>
      <c r="BU150" s="6"/>
      <c r="BV150" s="6"/>
      <c r="BW150" s="6"/>
      <c r="BX150" s="6"/>
      <c r="BY150" s="6"/>
      <c r="BZ150" s="6"/>
      <c r="CA150" s="6"/>
      <c r="CB150" s="6"/>
    </row>
    <row r="151" spans="1:80" x14ac:dyDescent="0.25">
      <c r="A151" t="s">
        <v>90</v>
      </c>
      <c r="B151" s="3" t="s">
        <v>86</v>
      </c>
      <c r="C151" s="3">
        <v>-3353477</v>
      </c>
      <c r="D151" s="3">
        <v>-7061624</v>
      </c>
      <c r="E151" s="3" t="s">
        <v>281</v>
      </c>
      <c r="F151" s="5">
        <v>-33537414</v>
      </c>
      <c r="G151" s="5">
        <v>-70619996</v>
      </c>
      <c r="H151" s="5" t="s">
        <v>282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1</v>
      </c>
      <c r="AD151" s="6">
        <v>1</v>
      </c>
      <c r="AE151" s="6">
        <v>0</v>
      </c>
      <c r="AF151" s="6">
        <v>1</v>
      </c>
      <c r="AG151" s="6">
        <v>1</v>
      </c>
      <c r="AH151" s="12">
        <v>0</v>
      </c>
      <c r="AI151" s="12">
        <v>0</v>
      </c>
      <c r="AJ151" s="12">
        <v>0</v>
      </c>
      <c r="AK151" s="6"/>
      <c r="AL151" s="6"/>
      <c r="AM151" s="6">
        <v>1</v>
      </c>
      <c r="AN151" s="6">
        <v>1</v>
      </c>
      <c r="AO151" s="6">
        <v>0</v>
      </c>
      <c r="AP151" s="6">
        <v>1</v>
      </c>
      <c r="AQ151" s="6">
        <v>0</v>
      </c>
      <c r="AR151" s="6">
        <v>0</v>
      </c>
      <c r="AS151" s="6">
        <v>1</v>
      </c>
      <c r="AT151" s="6">
        <v>0</v>
      </c>
      <c r="AU151" s="6">
        <v>0</v>
      </c>
      <c r="AV151" s="6">
        <v>0</v>
      </c>
      <c r="AW151" s="6">
        <v>1</v>
      </c>
      <c r="AX151" s="6">
        <v>1</v>
      </c>
      <c r="AY151" s="6">
        <v>1</v>
      </c>
      <c r="AZ151" s="6"/>
      <c r="BA151" s="6"/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/>
      <c r="BK151" s="6"/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11"/>
      <c r="BT151" s="11"/>
      <c r="BU151" s="6"/>
      <c r="BV151" s="6"/>
      <c r="BW151" s="6"/>
      <c r="BX151" s="6"/>
      <c r="BY151" s="6"/>
      <c r="BZ151" s="6"/>
      <c r="CA151" s="6"/>
      <c r="CB151" s="6"/>
    </row>
    <row r="152" spans="1:80" x14ac:dyDescent="0.25">
      <c r="A152" t="s">
        <v>90</v>
      </c>
      <c r="B152" s="3" t="s">
        <v>86</v>
      </c>
      <c r="C152" s="3">
        <v>-3353477</v>
      </c>
      <c r="D152" s="3">
        <v>-7061624</v>
      </c>
      <c r="E152" s="3" t="s">
        <v>283</v>
      </c>
      <c r="F152" s="5">
        <v>-33537414</v>
      </c>
      <c r="G152" s="5">
        <v>-70619996</v>
      </c>
      <c r="H152" s="5" t="s">
        <v>210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3"/>
      <c r="AI152" s="3"/>
      <c r="AJ152" s="3"/>
      <c r="AK152" s="6"/>
      <c r="AL152" s="6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6"/>
      <c r="BA152" s="6"/>
      <c r="BB152" s="3"/>
      <c r="BC152" s="3"/>
      <c r="BD152" s="3"/>
      <c r="BE152" s="3"/>
      <c r="BF152" s="3"/>
      <c r="BG152" s="3"/>
      <c r="BH152" s="3"/>
      <c r="BI152" s="3"/>
      <c r="BJ152" s="6"/>
      <c r="BK152" s="6"/>
      <c r="BL152" s="3"/>
      <c r="BM152" s="3"/>
      <c r="BN152" s="3"/>
      <c r="BO152" s="3"/>
      <c r="BP152" s="3"/>
      <c r="BQ152" s="3"/>
      <c r="BR152" s="3"/>
      <c r="BS152" s="11"/>
      <c r="BT152" s="11"/>
      <c r="BU152" s="6"/>
      <c r="BV152" s="6"/>
      <c r="BW152" s="6"/>
      <c r="BX152" s="6"/>
      <c r="BY152" s="6"/>
      <c r="BZ152" s="6"/>
      <c r="CA152" s="6"/>
      <c r="CB152" s="6"/>
    </row>
    <row r="153" spans="1:80" x14ac:dyDescent="0.25">
      <c r="A153" t="s">
        <v>90</v>
      </c>
      <c r="B153" s="3" t="s">
        <v>86</v>
      </c>
      <c r="C153" s="3">
        <v>-3353477</v>
      </c>
      <c r="D153" s="3">
        <v>-7061624</v>
      </c>
      <c r="E153" s="3" t="s">
        <v>284</v>
      </c>
      <c r="F153" s="5">
        <v>-33537414</v>
      </c>
      <c r="G153" s="5">
        <v>-70619996</v>
      </c>
      <c r="H153" s="5" t="s">
        <v>285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3"/>
      <c r="AI153" s="3"/>
      <c r="AJ153" s="3"/>
      <c r="AK153" s="6"/>
      <c r="AL153" s="6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6"/>
      <c r="BA153" s="6"/>
      <c r="BB153" s="3"/>
      <c r="BC153" s="3"/>
      <c r="BD153" s="3"/>
      <c r="BE153" s="3"/>
      <c r="BF153" s="3"/>
      <c r="BG153" s="3"/>
      <c r="BH153" s="3"/>
      <c r="BI153" s="3"/>
      <c r="BJ153" s="6"/>
      <c r="BK153" s="6"/>
      <c r="BL153" s="3"/>
      <c r="BM153" s="3"/>
      <c r="BN153" s="3"/>
      <c r="BO153" s="3"/>
      <c r="BP153" s="3"/>
      <c r="BQ153" s="3"/>
      <c r="BR153" s="3"/>
      <c r="BS153" s="11"/>
      <c r="BT153" s="11"/>
      <c r="BU153" s="6"/>
      <c r="BV153" s="6"/>
      <c r="BW153" s="6"/>
      <c r="BX153" s="6"/>
      <c r="BY153" s="6"/>
      <c r="BZ153" s="6"/>
      <c r="CA153" s="6"/>
      <c r="CB153" s="6"/>
    </row>
    <row r="154" spans="1:80" x14ac:dyDescent="0.25">
      <c r="A154" t="s">
        <v>90</v>
      </c>
      <c r="B154" s="3" t="s">
        <v>86</v>
      </c>
      <c r="C154" s="3">
        <v>-3353477</v>
      </c>
      <c r="D154" s="3">
        <v>-7061624</v>
      </c>
      <c r="E154" s="3" t="s">
        <v>286</v>
      </c>
      <c r="F154" s="5">
        <v>-33536803</v>
      </c>
      <c r="G154" s="5">
        <v>-70615294</v>
      </c>
      <c r="H154" s="5" t="s">
        <v>94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1</v>
      </c>
      <c r="P154" s="6">
        <v>1</v>
      </c>
      <c r="Q154" s="6">
        <v>1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1</v>
      </c>
      <c r="AA154" s="6">
        <v>0</v>
      </c>
      <c r="AB154" s="6">
        <v>0</v>
      </c>
      <c r="AC154" s="6">
        <v>1</v>
      </c>
      <c r="AD154" s="6">
        <v>1</v>
      </c>
      <c r="AE154" s="6">
        <v>0</v>
      </c>
      <c r="AF154" s="6">
        <v>1</v>
      </c>
      <c r="AG154" s="6">
        <v>1</v>
      </c>
      <c r="AH154" s="12">
        <v>1</v>
      </c>
      <c r="AI154" s="12">
        <v>0</v>
      </c>
      <c r="AJ154" s="12">
        <v>1</v>
      </c>
      <c r="AK154" s="6"/>
      <c r="AL154" s="6"/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0</v>
      </c>
      <c r="AT154" s="3">
        <v>0</v>
      </c>
      <c r="AU154" s="3">
        <v>0</v>
      </c>
      <c r="AV154" s="3">
        <v>0</v>
      </c>
      <c r="AW154" s="3">
        <v>1</v>
      </c>
      <c r="AX154" s="3">
        <v>1</v>
      </c>
      <c r="AY154" s="3">
        <v>1</v>
      </c>
      <c r="AZ154" s="6"/>
      <c r="BA154" s="6"/>
      <c r="BB154" s="3">
        <v>0</v>
      </c>
      <c r="BC154" s="3">
        <v>0</v>
      </c>
      <c r="BD154" s="3">
        <v>1</v>
      </c>
      <c r="BE154" s="3">
        <v>0</v>
      </c>
      <c r="BF154" s="3">
        <v>0</v>
      </c>
      <c r="BG154" s="3">
        <v>0</v>
      </c>
      <c r="BH154" s="3">
        <v>0</v>
      </c>
      <c r="BI154" s="3">
        <v>1</v>
      </c>
      <c r="BJ154" s="6"/>
      <c r="BK154" s="6"/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11"/>
      <c r="BT154" s="11"/>
      <c r="BU154" s="6"/>
      <c r="BV154" s="6"/>
      <c r="BW154" s="6"/>
      <c r="BX154" s="6"/>
      <c r="BY154" s="6"/>
      <c r="BZ154" s="6"/>
      <c r="CA154" s="6"/>
      <c r="CB154" s="6"/>
    </row>
    <row r="155" spans="1:80" x14ac:dyDescent="0.25">
      <c r="A155" t="s">
        <v>90</v>
      </c>
      <c r="B155" s="3" t="s">
        <v>86</v>
      </c>
      <c r="C155" s="3">
        <v>-3353477</v>
      </c>
      <c r="D155" s="3">
        <v>-7061624</v>
      </c>
      <c r="E155" s="3" t="s">
        <v>287</v>
      </c>
      <c r="F155" s="5">
        <v>-33537533</v>
      </c>
      <c r="G155" s="5">
        <v>-70614188</v>
      </c>
      <c r="H155" s="5" t="s">
        <v>94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6">
        <v>1</v>
      </c>
      <c r="P155" s="6">
        <v>0</v>
      </c>
      <c r="Q155" s="6">
        <v>1</v>
      </c>
      <c r="R155" s="6">
        <v>0</v>
      </c>
      <c r="S155" s="6">
        <v>0</v>
      </c>
      <c r="T155" s="6">
        <v>1</v>
      </c>
      <c r="U155" s="6">
        <v>0</v>
      </c>
      <c r="V155" s="6">
        <v>0</v>
      </c>
      <c r="W155" s="6">
        <v>0</v>
      </c>
      <c r="X155" s="6">
        <v>1</v>
      </c>
      <c r="Y155" s="6">
        <v>1</v>
      </c>
      <c r="Z155" s="6">
        <v>1</v>
      </c>
      <c r="AA155" s="6">
        <v>0</v>
      </c>
      <c r="AB155" s="6">
        <v>0</v>
      </c>
      <c r="AC155" s="6">
        <v>1</v>
      </c>
      <c r="AD155" s="6">
        <v>1</v>
      </c>
      <c r="AE155" s="6">
        <v>0</v>
      </c>
      <c r="AF155" s="6">
        <v>1</v>
      </c>
      <c r="AG155" s="6">
        <v>1</v>
      </c>
      <c r="AH155" s="12">
        <v>1</v>
      </c>
      <c r="AI155" s="12">
        <v>0</v>
      </c>
      <c r="AJ155" s="12">
        <v>1</v>
      </c>
      <c r="AK155" s="6"/>
      <c r="AL155" s="6"/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0</v>
      </c>
      <c r="AU155" s="3">
        <v>0</v>
      </c>
      <c r="AV155" s="3">
        <v>0</v>
      </c>
      <c r="AW155" s="3">
        <v>1</v>
      </c>
      <c r="AX155" s="3">
        <v>1</v>
      </c>
      <c r="AY155" s="3">
        <v>1</v>
      </c>
      <c r="AZ155" s="6"/>
      <c r="BA155" s="6"/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1</v>
      </c>
      <c r="BJ155" s="6"/>
      <c r="BK155" s="6"/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11"/>
      <c r="BT155" s="11"/>
      <c r="BU155" s="6"/>
      <c r="BV155" s="6"/>
      <c r="BW155" s="6"/>
      <c r="BX155" s="6"/>
      <c r="BY155" s="6"/>
      <c r="BZ155" s="6"/>
      <c r="CA155" s="6"/>
      <c r="CB155" s="6"/>
    </row>
    <row r="156" spans="1:80" x14ac:dyDescent="0.25">
      <c r="A156" t="s">
        <v>90</v>
      </c>
      <c r="B156" s="3" t="s">
        <v>86</v>
      </c>
      <c r="C156" s="3">
        <v>-3353477</v>
      </c>
      <c r="D156" s="3">
        <v>-7061624</v>
      </c>
      <c r="E156" s="3" t="s">
        <v>288</v>
      </c>
      <c r="F156" s="5">
        <v>-33537914</v>
      </c>
      <c r="G156" s="5">
        <v>-70614523</v>
      </c>
      <c r="H156" s="5" t="s">
        <v>289</v>
      </c>
      <c r="I156" s="6">
        <v>1</v>
      </c>
      <c r="J156" s="6">
        <v>0</v>
      </c>
      <c r="K156" s="6">
        <v>1</v>
      </c>
      <c r="L156" s="6">
        <v>1</v>
      </c>
      <c r="M156" s="6">
        <v>1</v>
      </c>
      <c r="N156" s="6">
        <v>1</v>
      </c>
      <c r="O156" s="6">
        <v>1</v>
      </c>
      <c r="P156" s="6">
        <v>1</v>
      </c>
      <c r="Q156" s="6">
        <v>1</v>
      </c>
      <c r="R156" s="6">
        <v>1</v>
      </c>
      <c r="S156" s="6">
        <v>0</v>
      </c>
      <c r="T156" s="6">
        <v>1</v>
      </c>
      <c r="U156" s="6">
        <v>1</v>
      </c>
      <c r="V156" s="6">
        <v>0</v>
      </c>
      <c r="W156" s="6">
        <v>0</v>
      </c>
      <c r="X156" s="6">
        <v>1</v>
      </c>
      <c r="Y156" s="6">
        <v>1</v>
      </c>
      <c r="Z156" s="6">
        <v>1</v>
      </c>
      <c r="AA156" s="6">
        <v>1</v>
      </c>
      <c r="AB156" s="6">
        <v>0</v>
      </c>
      <c r="AC156" s="6">
        <v>1</v>
      </c>
      <c r="AD156" s="6">
        <v>1</v>
      </c>
      <c r="AE156" s="6">
        <v>1</v>
      </c>
      <c r="AF156" s="6">
        <v>1</v>
      </c>
      <c r="AG156" s="6">
        <v>1</v>
      </c>
      <c r="AH156" s="12">
        <v>1</v>
      </c>
      <c r="AI156" s="12">
        <v>1</v>
      </c>
      <c r="AJ156" s="12">
        <v>1</v>
      </c>
      <c r="AK156" s="6"/>
      <c r="AL156" s="6"/>
      <c r="AM156" s="6">
        <v>1</v>
      </c>
      <c r="AN156" s="6">
        <v>1</v>
      </c>
      <c r="AO156" s="6">
        <v>1</v>
      </c>
      <c r="AP156" s="6">
        <v>1</v>
      </c>
      <c r="AQ156" s="6">
        <v>1</v>
      </c>
      <c r="AR156" s="6">
        <v>1</v>
      </c>
      <c r="AS156" s="6">
        <v>1</v>
      </c>
      <c r="AT156" s="6">
        <v>1</v>
      </c>
      <c r="AU156" s="6">
        <v>0</v>
      </c>
      <c r="AV156" s="6">
        <v>0</v>
      </c>
      <c r="AW156" s="6">
        <v>1</v>
      </c>
      <c r="AX156" s="6">
        <v>1</v>
      </c>
      <c r="AY156" s="6">
        <v>1</v>
      </c>
      <c r="AZ156" s="6"/>
      <c r="BA156" s="6"/>
      <c r="BB156" s="6">
        <v>1</v>
      </c>
      <c r="BC156" s="6">
        <v>1</v>
      </c>
      <c r="BD156" s="6">
        <v>1</v>
      </c>
      <c r="BE156" s="6">
        <v>1</v>
      </c>
      <c r="BF156" s="6">
        <v>1</v>
      </c>
      <c r="BG156" s="6">
        <v>1</v>
      </c>
      <c r="BH156" s="6">
        <v>1</v>
      </c>
      <c r="BI156" s="6">
        <v>1</v>
      </c>
      <c r="BJ156" s="6"/>
      <c r="BK156" s="6"/>
      <c r="BL156" s="6">
        <v>0</v>
      </c>
      <c r="BM156" s="6">
        <v>0</v>
      </c>
      <c r="BN156" s="6">
        <v>0</v>
      </c>
      <c r="BO156" s="6">
        <v>1</v>
      </c>
      <c r="BP156" s="6">
        <v>0</v>
      </c>
      <c r="BQ156" s="6">
        <v>1</v>
      </c>
      <c r="BR156" s="6">
        <v>0</v>
      </c>
      <c r="BS156" s="11"/>
      <c r="BT156" s="11"/>
      <c r="BU156" s="6"/>
      <c r="BV156" s="6"/>
      <c r="BW156" s="6"/>
      <c r="BX156" s="6"/>
      <c r="BY156" s="6"/>
      <c r="BZ156" s="6"/>
      <c r="CA156" s="6"/>
      <c r="CB156" s="6"/>
    </row>
    <row r="157" spans="1:80" x14ac:dyDescent="0.25">
      <c r="A157" t="s">
        <v>90</v>
      </c>
      <c r="B157" s="3" t="s">
        <v>86</v>
      </c>
      <c r="C157" s="3">
        <v>-3353477</v>
      </c>
      <c r="D157" s="3">
        <v>-7061624</v>
      </c>
      <c r="E157" s="3" t="s">
        <v>290</v>
      </c>
      <c r="F157" s="5">
        <v>-33535007</v>
      </c>
      <c r="G157" s="5">
        <v>-70612879</v>
      </c>
      <c r="H157" s="5" t="s">
        <v>94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1</v>
      </c>
      <c r="O157" s="6">
        <v>1</v>
      </c>
      <c r="P157" s="6">
        <v>1</v>
      </c>
      <c r="Q157" s="6">
        <v>1</v>
      </c>
      <c r="R157" s="6">
        <v>1</v>
      </c>
      <c r="S157" s="6">
        <v>0</v>
      </c>
      <c r="T157" s="6">
        <v>1</v>
      </c>
      <c r="U157" s="6">
        <v>0</v>
      </c>
      <c r="V157" s="6">
        <v>0</v>
      </c>
      <c r="W157" s="6">
        <v>0</v>
      </c>
      <c r="X157" s="6">
        <v>1</v>
      </c>
      <c r="Y157" s="6">
        <v>1</v>
      </c>
      <c r="Z157" s="6">
        <v>1</v>
      </c>
      <c r="AA157" s="6">
        <v>1</v>
      </c>
      <c r="AB157" s="6">
        <v>0</v>
      </c>
      <c r="AC157" s="6">
        <v>1</v>
      </c>
      <c r="AD157" s="6">
        <v>1</v>
      </c>
      <c r="AE157" s="6">
        <v>0</v>
      </c>
      <c r="AF157" s="6">
        <v>1</v>
      </c>
      <c r="AG157" s="6">
        <v>1</v>
      </c>
      <c r="AH157" s="12">
        <v>1</v>
      </c>
      <c r="AI157" s="12">
        <v>1</v>
      </c>
      <c r="AJ157" s="12">
        <v>1</v>
      </c>
      <c r="AK157" s="6"/>
      <c r="AL157" s="6"/>
      <c r="AM157" s="6">
        <v>1</v>
      </c>
      <c r="AN157" s="6">
        <v>1</v>
      </c>
      <c r="AO157" s="6">
        <v>1</v>
      </c>
      <c r="AP157" s="6">
        <v>1</v>
      </c>
      <c r="AQ157" s="6">
        <v>1</v>
      </c>
      <c r="AR157" s="6">
        <v>1</v>
      </c>
      <c r="AS157" s="6">
        <v>0</v>
      </c>
      <c r="AT157" s="6">
        <v>1</v>
      </c>
      <c r="AU157" s="6">
        <v>0</v>
      </c>
      <c r="AV157" s="6">
        <v>0</v>
      </c>
      <c r="AW157" s="6">
        <v>1</v>
      </c>
      <c r="AX157" s="6">
        <v>1</v>
      </c>
      <c r="AY157" s="6">
        <v>1</v>
      </c>
      <c r="AZ157" s="6"/>
      <c r="BA157" s="6"/>
      <c r="BB157" s="6">
        <v>0</v>
      </c>
      <c r="BC157" s="6">
        <v>0</v>
      </c>
      <c r="BD157" s="6">
        <v>1</v>
      </c>
      <c r="BE157" s="6">
        <v>1</v>
      </c>
      <c r="BF157" s="6">
        <v>0</v>
      </c>
      <c r="BG157" s="6">
        <v>0</v>
      </c>
      <c r="BH157" s="6">
        <v>0</v>
      </c>
      <c r="BI157" s="6">
        <v>0</v>
      </c>
      <c r="BJ157" s="6"/>
      <c r="BK157" s="6"/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11"/>
      <c r="BT157" s="11"/>
      <c r="BU157" s="6"/>
      <c r="BV157" s="6"/>
      <c r="BW157" s="6"/>
      <c r="BX157" s="6"/>
      <c r="BY157" s="6"/>
      <c r="BZ157" s="6"/>
      <c r="CA157" s="6"/>
      <c r="CB157" s="6"/>
    </row>
    <row r="158" spans="1:80" x14ac:dyDescent="0.25">
      <c r="A158" t="s">
        <v>90</v>
      </c>
      <c r="B158" s="3" t="s">
        <v>86</v>
      </c>
      <c r="C158" s="3">
        <v>-3353477</v>
      </c>
      <c r="D158" s="3">
        <v>-7061624</v>
      </c>
      <c r="E158" s="3" t="s">
        <v>291</v>
      </c>
      <c r="F158" s="5">
        <v>-33535168</v>
      </c>
      <c r="G158" s="5">
        <v>-70612244</v>
      </c>
      <c r="H158" s="5" t="s">
        <v>96</v>
      </c>
      <c r="I158" s="6">
        <v>0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1</v>
      </c>
      <c r="AD158" s="6">
        <v>1</v>
      </c>
      <c r="AE158" s="6">
        <v>0</v>
      </c>
      <c r="AF158" s="6">
        <v>1</v>
      </c>
      <c r="AG158" s="6">
        <v>1</v>
      </c>
      <c r="AH158" s="12">
        <v>0</v>
      </c>
      <c r="AI158" s="12">
        <v>0</v>
      </c>
      <c r="AJ158" s="12">
        <v>0</v>
      </c>
      <c r="AK158" s="6"/>
      <c r="AL158" s="6"/>
      <c r="AM158" s="6">
        <v>1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1</v>
      </c>
      <c r="AX158" s="6">
        <v>1</v>
      </c>
      <c r="AY158" s="6">
        <v>0</v>
      </c>
      <c r="AZ158" s="6"/>
      <c r="BA158" s="6"/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1</v>
      </c>
      <c r="BJ158" s="6"/>
      <c r="BK158" s="6"/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11"/>
      <c r="BT158" s="11"/>
      <c r="BU158" s="6"/>
      <c r="BV158" s="6"/>
      <c r="BW158" s="6"/>
      <c r="BX158" s="6"/>
      <c r="BY158" s="6"/>
      <c r="BZ158" s="6"/>
      <c r="CA158" s="6"/>
      <c r="CB158" s="6"/>
    </row>
    <row r="159" spans="1:80" x14ac:dyDescent="0.25">
      <c r="A159" t="s">
        <v>90</v>
      </c>
      <c r="B159" s="3" t="s">
        <v>86</v>
      </c>
      <c r="C159" s="3">
        <v>-3353477</v>
      </c>
      <c r="D159" s="3">
        <v>-7061624</v>
      </c>
      <c r="E159" s="3" t="s">
        <v>292</v>
      </c>
      <c r="F159" s="5">
        <v>-33533690</v>
      </c>
      <c r="G159" s="5">
        <v>-70612498</v>
      </c>
      <c r="H159" s="5" t="s">
        <v>96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1"/>
      <c r="BT159" s="11"/>
      <c r="BU159" s="6"/>
      <c r="BV159" s="6"/>
      <c r="BW159" s="6"/>
      <c r="BX159" s="6"/>
      <c r="BY159" s="6"/>
      <c r="BZ159" s="6"/>
      <c r="CA159" s="6"/>
      <c r="CB159" s="6"/>
    </row>
    <row r="160" spans="1:80" x14ac:dyDescent="0.25">
      <c r="A160" t="s">
        <v>90</v>
      </c>
      <c r="B160" s="3" t="s">
        <v>86</v>
      </c>
      <c r="C160" s="3">
        <v>-3353477</v>
      </c>
      <c r="D160" s="3">
        <v>-7061624</v>
      </c>
      <c r="E160" s="3" t="s">
        <v>293</v>
      </c>
      <c r="F160" s="5">
        <v>-33533928</v>
      </c>
      <c r="G160" s="5">
        <v>-70612435</v>
      </c>
      <c r="H160" s="5" t="s">
        <v>96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12"/>
      <c r="AI160" s="12"/>
      <c r="AJ160" s="12"/>
      <c r="AK160" s="6"/>
      <c r="AL160" s="6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6"/>
      <c r="BA160" s="6"/>
      <c r="BB160" s="3"/>
      <c r="BC160" s="3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1"/>
      <c r="BT160" s="11"/>
      <c r="BU160" s="6"/>
      <c r="BV160" s="6"/>
      <c r="BW160" s="6"/>
      <c r="BX160" s="6"/>
      <c r="BY160" s="6"/>
      <c r="BZ160" s="6"/>
      <c r="CA160" s="6"/>
      <c r="CB160" s="6"/>
    </row>
    <row r="161" spans="1:80" x14ac:dyDescent="0.25">
      <c r="A161" t="s">
        <v>90</v>
      </c>
      <c r="B161" s="3" t="s">
        <v>86</v>
      </c>
      <c r="C161" s="3">
        <v>-3353477</v>
      </c>
      <c r="D161" s="3">
        <v>-7061624</v>
      </c>
      <c r="E161" s="3" t="s">
        <v>294</v>
      </c>
      <c r="F161" s="5">
        <v>-33533265</v>
      </c>
      <c r="G161" s="5">
        <v>-70612534</v>
      </c>
      <c r="H161" s="5" t="s">
        <v>94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1</v>
      </c>
      <c r="O161" s="6">
        <v>1</v>
      </c>
      <c r="P161" s="6">
        <v>0</v>
      </c>
      <c r="Q161" s="6">
        <v>1</v>
      </c>
      <c r="R161" s="6">
        <v>1</v>
      </c>
      <c r="S161" s="6">
        <v>0</v>
      </c>
      <c r="T161" s="6">
        <v>1</v>
      </c>
      <c r="U161" s="6">
        <v>0</v>
      </c>
      <c r="V161" s="6">
        <v>0</v>
      </c>
      <c r="W161" s="6">
        <v>0</v>
      </c>
      <c r="X161" s="6">
        <v>1</v>
      </c>
      <c r="Y161" s="6">
        <v>0</v>
      </c>
      <c r="Z161" s="6">
        <v>1</v>
      </c>
      <c r="AA161" s="6">
        <v>1</v>
      </c>
      <c r="AB161" s="6">
        <v>0</v>
      </c>
      <c r="AC161" s="6">
        <v>1</v>
      </c>
      <c r="AD161" s="6">
        <v>1</v>
      </c>
      <c r="AE161" s="6">
        <v>0</v>
      </c>
      <c r="AF161" s="6">
        <v>1</v>
      </c>
      <c r="AG161" s="6">
        <v>1</v>
      </c>
      <c r="AH161" s="3">
        <v>1</v>
      </c>
      <c r="AI161" s="3">
        <v>0</v>
      </c>
      <c r="AJ161" s="3">
        <v>1</v>
      </c>
      <c r="AK161" s="6"/>
      <c r="AL161" s="6"/>
      <c r="AM161" s="6">
        <v>1</v>
      </c>
      <c r="AN161" s="6">
        <v>1</v>
      </c>
      <c r="AO161" s="3">
        <v>1</v>
      </c>
      <c r="AP161" s="3">
        <v>1</v>
      </c>
      <c r="AQ161" s="3">
        <v>0</v>
      </c>
      <c r="AR161" s="3">
        <v>0</v>
      </c>
      <c r="AS161" s="3">
        <v>1</v>
      </c>
      <c r="AT161" s="3">
        <v>0</v>
      </c>
      <c r="AU161" s="3">
        <v>0</v>
      </c>
      <c r="AV161" s="3">
        <v>0</v>
      </c>
      <c r="AW161" s="3">
        <v>1</v>
      </c>
      <c r="AX161" s="3">
        <v>1</v>
      </c>
      <c r="AY161" s="3">
        <v>1</v>
      </c>
      <c r="AZ161" s="6"/>
      <c r="BA161" s="6"/>
      <c r="BB161" s="3">
        <v>0</v>
      </c>
      <c r="BC161" s="3">
        <v>0</v>
      </c>
      <c r="BD161" s="3">
        <v>1</v>
      </c>
      <c r="BE161" s="3">
        <v>1</v>
      </c>
      <c r="BF161" s="3">
        <v>0</v>
      </c>
      <c r="BG161" s="3">
        <v>0</v>
      </c>
      <c r="BH161" s="3">
        <v>0</v>
      </c>
      <c r="BI161" s="3">
        <v>0</v>
      </c>
      <c r="BJ161" s="6"/>
      <c r="BK161" s="6"/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11"/>
      <c r="BT161" s="11"/>
      <c r="BU161" s="6"/>
      <c r="BV161" s="6"/>
      <c r="BW161" s="6"/>
      <c r="BX161" s="6"/>
      <c r="BY161" s="6"/>
      <c r="BZ161" s="6"/>
      <c r="CA161" s="6"/>
      <c r="CB161" s="6"/>
    </row>
    <row r="162" spans="1:80" x14ac:dyDescent="0.25">
      <c r="A162" t="s">
        <v>90</v>
      </c>
      <c r="B162" s="3" t="s">
        <v>86</v>
      </c>
      <c r="C162" s="3">
        <v>-3353477</v>
      </c>
      <c r="D162" s="3">
        <v>-7061624</v>
      </c>
      <c r="E162" s="3" t="s">
        <v>295</v>
      </c>
      <c r="F162" s="5">
        <v>-33533346</v>
      </c>
      <c r="G162" s="5">
        <v>-70612027</v>
      </c>
      <c r="H162" s="5" t="s">
        <v>94</v>
      </c>
      <c r="I162" s="6">
        <v>0</v>
      </c>
      <c r="J162" s="6">
        <v>0</v>
      </c>
      <c r="K162" s="6">
        <v>0</v>
      </c>
      <c r="L162" s="6">
        <v>1</v>
      </c>
      <c r="M162" s="6">
        <v>0</v>
      </c>
      <c r="N162" s="6">
        <v>1</v>
      </c>
      <c r="O162" s="6">
        <v>1</v>
      </c>
      <c r="P162" s="6">
        <v>0</v>
      </c>
      <c r="Q162" s="6">
        <v>1</v>
      </c>
      <c r="R162" s="6">
        <v>1</v>
      </c>
      <c r="S162" s="6">
        <v>1</v>
      </c>
      <c r="T162" s="6">
        <v>0</v>
      </c>
      <c r="U162" s="6">
        <v>0</v>
      </c>
      <c r="V162" s="6">
        <v>0</v>
      </c>
      <c r="W162" s="6">
        <v>1</v>
      </c>
      <c r="X162" s="6">
        <v>1</v>
      </c>
      <c r="Y162" s="6">
        <v>1</v>
      </c>
      <c r="Z162" s="6">
        <v>1</v>
      </c>
      <c r="AA162" s="6">
        <v>0</v>
      </c>
      <c r="AB162" s="6">
        <v>1</v>
      </c>
      <c r="AC162" s="6">
        <v>1</v>
      </c>
      <c r="AD162" s="6">
        <v>0</v>
      </c>
      <c r="AE162" s="6">
        <v>1</v>
      </c>
      <c r="AF162" s="6">
        <v>0</v>
      </c>
      <c r="AG162" s="6">
        <v>0</v>
      </c>
      <c r="AH162" s="12">
        <v>1</v>
      </c>
      <c r="AI162" s="12">
        <v>1</v>
      </c>
      <c r="AJ162" s="12">
        <v>1</v>
      </c>
      <c r="AK162" s="6"/>
      <c r="AL162" s="6"/>
      <c r="AM162" s="3">
        <v>1</v>
      </c>
      <c r="AN162" s="3">
        <v>1</v>
      </c>
      <c r="AO162" s="3">
        <v>1</v>
      </c>
      <c r="AP162" s="3">
        <v>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1</v>
      </c>
      <c r="AX162" s="3">
        <v>1</v>
      </c>
      <c r="AY162" s="3">
        <v>0</v>
      </c>
      <c r="AZ162" s="6"/>
      <c r="BA162" s="6"/>
      <c r="BB162" s="3">
        <v>0</v>
      </c>
      <c r="BC162" s="3">
        <v>0</v>
      </c>
      <c r="BD162" s="3">
        <v>1</v>
      </c>
      <c r="BE162" s="3">
        <v>1</v>
      </c>
      <c r="BF162" s="3">
        <v>0</v>
      </c>
      <c r="BG162" s="3">
        <v>0</v>
      </c>
      <c r="BH162" s="3">
        <v>0</v>
      </c>
      <c r="BI162" s="3">
        <v>1</v>
      </c>
      <c r="BJ162" s="6"/>
      <c r="BK162" s="6"/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11"/>
      <c r="BT162" s="11"/>
      <c r="BU162" s="6"/>
      <c r="BV162" s="6"/>
      <c r="BW162" s="6"/>
      <c r="BX162" s="6"/>
      <c r="BY162" s="6"/>
      <c r="BZ162" s="6"/>
      <c r="CA162" s="6"/>
      <c r="CB162" s="6"/>
    </row>
    <row r="163" spans="1:80" x14ac:dyDescent="0.25">
      <c r="A163" t="s">
        <v>90</v>
      </c>
      <c r="B163" s="3" t="s">
        <v>86</v>
      </c>
      <c r="C163" s="3">
        <v>-3353477</v>
      </c>
      <c r="D163" s="3">
        <v>-7061624</v>
      </c>
      <c r="E163" s="3" t="s">
        <v>296</v>
      </c>
      <c r="F163" s="5">
        <v>-33533996</v>
      </c>
      <c r="G163" s="5">
        <v>-70613176</v>
      </c>
      <c r="H163" s="5" t="s">
        <v>94</v>
      </c>
      <c r="I163" s="6">
        <v>1</v>
      </c>
      <c r="J163" s="6">
        <v>0</v>
      </c>
      <c r="K163" s="6">
        <v>0</v>
      </c>
      <c r="L163" s="6">
        <v>1</v>
      </c>
      <c r="M163" s="6">
        <v>1</v>
      </c>
      <c r="N163" s="6">
        <v>1</v>
      </c>
      <c r="O163" s="6">
        <v>0</v>
      </c>
      <c r="P163" s="6">
        <v>1</v>
      </c>
      <c r="Q163" s="6">
        <v>1</v>
      </c>
      <c r="R163" s="6">
        <v>1</v>
      </c>
      <c r="S163" s="6">
        <v>0</v>
      </c>
      <c r="T163" s="6">
        <v>1</v>
      </c>
      <c r="U163" s="6">
        <v>0</v>
      </c>
      <c r="V163" s="6">
        <v>0</v>
      </c>
      <c r="W163" s="6">
        <v>1</v>
      </c>
      <c r="X163" s="6">
        <v>1</v>
      </c>
      <c r="Y163" s="6">
        <v>1</v>
      </c>
      <c r="Z163" s="6">
        <v>1</v>
      </c>
      <c r="AA163" s="6">
        <v>1</v>
      </c>
      <c r="AB163" s="6">
        <v>0</v>
      </c>
      <c r="AC163" s="6">
        <v>1</v>
      </c>
      <c r="AD163" s="6">
        <v>1</v>
      </c>
      <c r="AE163" s="6">
        <v>0</v>
      </c>
      <c r="AF163" s="6">
        <v>1</v>
      </c>
      <c r="AG163" s="6">
        <v>1</v>
      </c>
      <c r="AH163" s="15">
        <v>1</v>
      </c>
      <c r="AI163" s="15">
        <v>1</v>
      </c>
      <c r="AJ163" s="15">
        <v>1</v>
      </c>
      <c r="AK163" s="6"/>
      <c r="AL163" s="6"/>
      <c r="AM163" s="6">
        <v>1</v>
      </c>
      <c r="AN163" s="6">
        <v>1</v>
      </c>
      <c r="AO163" s="6">
        <v>1</v>
      </c>
      <c r="AP163" s="6">
        <v>1</v>
      </c>
      <c r="AQ163" s="6">
        <v>0</v>
      </c>
      <c r="AR163" s="6">
        <v>0</v>
      </c>
      <c r="AS163" s="6">
        <v>1</v>
      </c>
      <c r="AT163" s="6">
        <v>0</v>
      </c>
      <c r="AU163" s="6">
        <v>0</v>
      </c>
      <c r="AV163" s="6">
        <v>0</v>
      </c>
      <c r="AW163" s="6">
        <v>1</v>
      </c>
      <c r="AX163" s="6">
        <v>1</v>
      </c>
      <c r="AY163" s="6">
        <v>1</v>
      </c>
      <c r="AZ163" s="6"/>
      <c r="BA163" s="6"/>
      <c r="BB163" s="6">
        <v>1</v>
      </c>
      <c r="BC163" s="6">
        <v>1</v>
      </c>
      <c r="BD163" s="6">
        <v>1</v>
      </c>
      <c r="BE163" s="6">
        <v>0</v>
      </c>
      <c r="BF163" s="6">
        <v>0</v>
      </c>
      <c r="BG163" s="6">
        <v>0</v>
      </c>
      <c r="BH163" s="6">
        <v>0</v>
      </c>
      <c r="BI163" s="6">
        <v>1</v>
      </c>
      <c r="BJ163" s="6"/>
      <c r="BK163" s="6"/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11"/>
      <c r="BT163" s="11"/>
      <c r="BU163" s="6"/>
      <c r="BV163" s="6"/>
      <c r="BW163" s="6"/>
      <c r="BX163" s="6"/>
      <c r="BY163" s="6"/>
      <c r="BZ163" s="6"/>
      <c r="CA163" s="6"/>
      <c r="CB163" s="6"/>
    </row>
    <row r="164" spans="1:80" x14ac:dyDescent="0.25">
      <c r="A164" t="s">
        <v>90</v>
      </c>
      <c r="B164" s="3" t="s">
        <v>86</v>
      </c>
      <c r="C164" s="3">
        <v>-3353477</v>
      </c>
      <c r="D164" s="3">
        <v>-7061624</v>
      </c>
      <c r="E164" s="3" t="s">
        <v>297</v>
      </c>
      <c r="F164" s="5">
        <v>-33533624</v>
      </c>
      <c r="G164" s="5">
        <v>-70612890</v>
      </c>
      <c r="H164" s="5" t="s">
        <v>94</v>
      </c>
      <c r="I164" s="6">
        <v>0</v>
      </c>
      <c r="J164" s="6">
        <v>0</v>
      </c>
      <c r="K164" s="6">
        <v>0</v>
      </c>
      <c r="L164" s="6">
        <v>1</v>
      </c>
      <c r="M164" s="6">
        <v>1</v>
      </c>
      <c r="N164" s="6">
        <v>1</v>
      </c>
      <c r="O164" s="6">
        <v>1</v>
      </c>
      <c r="P164" s="6">
        <v>0</v>
      </c>
      <c r="Q164" s="6">
        <v>1</v>
      </c>
      <c r="R164" s="6">
        <v>1</v>
      </c>
      <c r="S164" s="6">
        <v>0</v>
      </c>
      <c r="T164" s="6">
        <v>1</v>
      </c>
      <c r="U164" s="6">
        <v>0</v>
      </c>
      <c r="V164" s="6">
        <v>0</v>
      </c>
      <c r="W164" s="6">
        <v>1</v>
      </c>
      <c r="X164" s="6">
        <v>1</v>
      </c>
      <c r="Y164" s="6">
        <v>1</v>
      </c>
      <c r="Z164" s="6">
        <v>1</v>
      </c>
      <c r="AA164" s="6">
        <v>0</v>
      </c>
      <c r="AB164" s="6">
        <v>0</v>
      </c>
      <c r="AC164" s="6">
        <v>1</v>
      </c>
      <c r="AD164" s="6">
        <v>1</v>
      </c>
      <c r="AE164" s="6">
        <v>0</v>
      </c>
      <c r="AF164" s="6">
        <v>1</v>
      </c>
      <c r="AG164" s="6">
        <v>1</v>
      </c>
      <c r="AH164" s="15">
        <v>1</v>
      </c>
      <c r="AI164" s="15">
        <v>0</v>
      </c>
      <c r="AJ164" s="15">
        <v>1</v>
      </c>
      <c r="AK164" s="6"/>
      <c r="AL164" s="6"/>
      <c r="AM164" s="6">
        <v>1</v>
      </c>
      <c r="AN164" s="6">
        <v>1</v>
      </c>
      <c r="AO164" s="6">
        <v>1</v>
      </c>
      <c r="AP164" s="6">
        <v>1</v>
      </c>
      <c r="AQ164" s="6">
        <v>1</v>
      </c>
      <c r="AR164" s="6">
        <v>1</v>
      </c>
      <c r="AS164" s="6">
        <v>1</v>
      </c>
      <c r="AT164" s="6">
        <v>0</v>
      </c>
      <c r="AU164" s="6">
        <v>0</v>
      </c>
      <c r="AV164" s="6">
        <v>0</v>
      </c>
      <c r="AW164" s="6">
        <v>1</v>
      </c>
      <c r="AX164" s="6">
        <v>0</v>
      </c>
      <c r="AY164" s="6">
        <v>0</v>
      </c>
      <c r="AZ164" s="6"/>
      <c r="BA164" s="6"/>
      <c r="BB164" s="6">
        <v>0</v>
      </c>
      <c r="BC164" s="6">
        <v>1</v>
      </c>
      <c r="BD164" s="6">
        <v>1</v>
      </c>
      <c r="BE164" s="6">
        <v>0</v>
      </c>
      <c r="BF164" s="6">
        <v>1</v>
      </c>
      <c r="BG164" s="6">
        <v>0</v>
      </c>
      <c r="BH164" s="6">
        <v>0</v>
      </c>
      <c r="BI164" s="6">
        <v>0</v>
      </c>
      <c r="BJ164" s="6"/>
      <c r="BK164" s="6"/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11"/>
      <c r="BT164" s="11"/>
      <c r="BU164" s="6"/>
      <c r="BV164" s="6"/>
      <c r="BW164" s="6"/>
      <c r="BX164" s="6"/>
      <c r="BY164" s="6"/>
      <c r="BZ164" s="6"/>
      <c r="CA164" s="6"/>
      <c r="CB164" s="6"/>
    </row>
    <row r="165" spans="1:80" x14ac:dyDescent="0.25">
      <c r="A165" t="s">
        <v>90</v>
      </c>
      <c r="B165" s="3" t="s">
        <v>86</v>
      </c>
      <c r="C165" s="3">
        <v>-3353477</v>
      </c>
      <c r="D165" s="3">
        <v>-7061624</v>
      </c>
      <c r="E165" s="3" t="s">
        <v>298</v>
      </c>
      <c r="F165" s="5">
        <v>-33534205</v>
      </c>
      <c r="G165" s="5">
        <v>-70612908</v>
      </c>
      <c r="H165" s="5" t="s">
        <v>94</v>
      </c>
      <c r="I165" s="6">
        <v>1</v>
      </c>
      <c r="J165" s="6">
        <v>0</v>
      </c>
      <c r="K165" s="6">
        <v>0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0</v>
      </c>
      <c r="T165" s="6">
        <v>1</v>
      </c>
      <c r="U165" s="6">
        <v>1</v>
      </c>
      <c r="V165" s="6">
        <v>0</v>
      </c>
      <c r="W165" s="6">
        <v>1</v>
      </c>
      <c r="X165" s="6">
        <v>1</v>
      </c>
      <c r="Y165" s="6">
        <v>1</v>
      </c>
      <c r="Z165" s="6">
        <v>1</v>
      </c>
      <c r="AA165" s="6">
        <v>1</v>
      </c>
      <c r="AB165" s="6">
        <v>0</v>
      </c>
      <c r="AC165" s="6">
        <v>1</v>
      </c>
      <c r="AD165" s="6">
        <v>1</v>
      </c>
      <c r="AE165" s="6">
        <v>0</v>
      </c>
      <c r="AF165" s="6">
        <v>1</v>
      </c>
      <c r="AG165" s="6">
        <v>1</v>
      </c>
      <c r="AH165" s="12">
        <v>1</v>
      </c>
      <c r="AI165" s="12">
        <v>1</v>
      </c>
      <c r="AJ165" s="12">
        <v>1</v>
      </c>
      <c r="AK165" s="6"/>
      <c r="AL165" s="6"/>
      <c r="AM165" s="6">
        <v>1</v>
      </c>
      <c r="AN165" s="6">
        <v>1</v>
      </c>
      <c r="AO165" s="6">
        <v>1</v>
      </c>
      <c r="AP165" s="6">
        <v>1</v>
      </c>
      <c r="AQ165" s="6">
        <v>1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1</v>
      </c>
      <c r="AX165" s="6">
        <v>1</v>
      </c>
      <c r="AY165" s="6">
        <v>1</v>
      </c>
      <c r="AZ165" s="6"/>
      <c r="BA165" s="6"/>
      <c r="BB165" s="6">
        <v>1</v>
      </c>
      <c r="BC165" s="6">
        <v>1</v>
      </c>
      <c r="BD165" s="6">
        <v>1</v>
      </c>
      <c r="BE165" s="6">
        <v>1</v>
      </c>
      <c r="BF165" s="6">
        <v>1</v>
      </c>
      <c r="BG165" s="6">
        <v>1</v>
      </c>
      <c r="BH165" s="6">
        <v>1</v>
      </c>
      <c r="BI165" s="6">
        <v>1</v>
      </c>
      <c r="BJ165" s="6"/>
      <c r="BK165" s="6"/>
      <c r="BL165" s="6">
        <v>0</v>
      </c>
      <c r="BM165" s="6">
        <v>0</v>
      </c>
      <c r="BN165" s="6">
        <v>0</v>
      </c>
      <c r="BO165" s="6">
        <v>1</v>
      </c>
      <c r="BP165" s="6">
        <v>0</v>
      </c>
      <c r="BQ165" s="6">
        <v>1</v>
      </c>
      <c r="BR165" s="6">
        <v>0</v>
      </c>
      <c r="BS165" s="11"/>
      <c r="BT165" s="11"/>
      <c r="BU165" s="6"/>
      <c r="BV165" s="6"/>
      <c r="BW165" s="6"/>
      <c r="BX165" s="6"/>
      <c r="BY165" s="6"/>
      <c r="BZ165" s="6"/>
      <c r="CA165" s="6"/>
      <c r="CB165" s="6"/>
    </row>
    <row r="166" spans="1:80" x14ac:dyDescent="0.25">
      <c r="A166" t="s">
        <v>90</v>
      </c>
      <c r="B166" s="3" t="s">
        <v>86</v>
      </c>
      <c r="C166" s="3">
        <v>-3353477</v>
      </c>
      <c r="D166" s="3">
        <v>-7061624</v>
      </c>
      <c r="E166" s="3" t="s">
        <v>299</v>
      </c>
      <c r="F166" s="5">
        <v>-33535163</v>
      </c>
      <c r="G166" s="5">
        <v>-70617529</v>
      </c>
      <c r="H166" s="5" t="s">
        <v>94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1</v>
      </c>
      <c r="P166" s="6">
        <v>0</v>
      </c>
      <c r="Q166" s="6">
        <v>1</v>
      </c>
      <c r="R166" s="6">
        <v>0</v>
      </c>
      <c r="S166" s="6">
        <v>0</v>
      </c>
      <c r="T166" s="6">
        <v>1</v>
      </c>
      <c r="U166" s="6">
        <v>0</v>
      </c>
      <c r="V166" s="6">
        <v>0</v>
      </c>
      <c r="W166" s="6">
        <v>1</v>
      </c>
      <c r="X166" s="6">
        <v>1</v>
      </c>
      <c r="Y166" s="6">
        <v>1</v>
      </c>
      <c r="Z166" s="6">
        <v>1</v>
      </c>
      <c r="AA166" s="6">
        <v>1</v>
      </c>
      <c r="AB166" s="6">
        <v>0</v>
      </c>
      <c r="AC166" s="6">
        <v>1</v>
      </c>
      <c r="AD166" s="6">
        <v>1</v>
      </c>
      <c r="AE166" s="6">
        <v>0</v>
      </c>
      <c r="AF166" s="6">
        <v>1</v>
      </c>
      <c r="AG166" s="6">
        <v>1</v>
      </c>
      <c r="AH166" s="12">
        <v>1</v>
      </c>
      <c r="AI166" s="12">
        <v>0</v>
      </c>
      <c r="AJ166" s="12">
        <v>1</v>
      </c>
      <c r="AK166" s="6"/>
      <c r="AL166" s="6"/>
      <c r="AM166" s="6">
        <v>1</v>
      </c>
      <c r="AN166" s="6">
        <v>1</v>
      </c>
      <c r="AO166" s="6">
        <v>1</v>
      </c>
      <c r="AP166" s="6">
        <v>1</v>
      </c>
      <c r="AQ166" s="6">
        <v>0</v>
      </c>
      <c r="AR166" s="6">
        <v>0</v>
      </c>
      <c r="AS166" s="6">
        <v>1</v>
      </c>
      <c r="AT166" s="6">
        <v>0</v>
      </c>
      <c r="AU166" s="6">
        <v>0</v>
      </c>
      <c r="AV166" s="6">
        <v>0</v>
      </c>
      <c r="AW166" s="6">
        <v>1</v>
      </c>
      <c r="AX166" s="6">
        <v>1</v>
      </c>
      <c r="AY166" s="6">
        <v>1</v>
      </c>
      <c r="AZ166" s="6"/>
      <c r="BA166" s="6"/>
      <c r="BB166" s="6">
        <v>1</v>
      </c>
      <c r="BC166" s="6">
        <v>1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/>
      <c r="BK166" s="6"/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11"/>
      <c r="BT166" s="11"/>
      <c r="BU166" s="6"/>
      <c r="BV166" s="6"/>
      <c r="BW166" s="6"/>
      <c r="BX166" s="6"/>
      <c r="BY166" s="6"/>
      <c r="BZ166" s="6"/>
      <c r="CA166" s="6"/>
      <c r="CB166" s="6"/>
    </row>
    <row r="167" spans="1:80" x14ac:dyDescent="0.25">
      <c r="A167" t="s">
        <v>90</v>
      </c>
      <c r="B167" s="3" t="s">
        <v>86</v>
      </c>
      <c r="C167" s="3">
        <v>-3353477</v>
      </c>
      <c r="D167" s="3">
        <v>-7061624</v>
      </c>
      <c r="E167" s="3" t="s">
        <v>300</v>
      </c>
      <c r="F167" s="5">
        <v>-33533801</v>
      </c>
      <c r="G167" s="5">
        <v>-70618122</v>
      </c>
      <c r="H167" s="5" t="s">
        <v>94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12"/>
      <c r="AI167" s="12"/>
      <c r="AJ167" s="12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11"/>
      <c r="BT167" s="11"/>
      <c r="BU167" s="6"/>
      <c r="BV167" s="6"/>
      <c r="BW167" s="6"/>
      <c r="BX167" s="6"/>
      <c r="BY167" s="6"/>
      <c r="BZ167" s="6"/>
      <c r="CA167" s="6"/>
      <c r="CB167" s="6"/>
    </row>
    <row r="168" spans="1:80" x14ac:dyDescent="0.25">
      <c r="A168" t="s">
        <v>90</v>
      </c>
      <c r="B168" s="3" t="s">
        <v>86</v>
      </c>
      <c r="C168" s="3">
        <v>-3353477</v>
      </c>
      <c r="D168" s="3">
        <v>-7061624</v>
      </c>
      <c r="E168" s="3" t="s">
        <v>301</v>
      </c>
      <c r="F168" s="5">
        <v>-33535252</v>
      </c>
      <c r="G168" s="5">
        <v>-70618789</v>
      </c>
      <c r="H168" s="5" t="s">
        <v>302</v>
      </c>
      <c r="I168" s="6">
        <v>0</v>
      </c>
      <c r="J168" s="6">
        <v>0</v>
      </c>
      <c r="K168" s="6">
        <v>1</v>
      </c>
      <c r="L168" s="6">
        <v>1</v>
      </c>
      <c r="M168" s="6">
        <v>1</v>
      </c>
      <c r="N168" s="6">
        <v>0</v>
      </c>
      <c r="O168" s="6">
        <v>1</v>
      </c>
      <c r="P168" s="6">
        <v>0</v>
      </c>
      <c r="Q168" s="6">
        <v>1</v>
      </c>
      <c r="R168" s="6">
        <v>1</v>
      </c>
      <c r="S168" s="6">
        <v>0</v>
      </c>
      <c r="T168" s="6">
        <v>0</v>
      </c>
      <c r="U168" s="6">
        <v>0</v>
      </c>
      <c r="V168" s="6">
        <v>0</v>
      </c>
      <c r="W168" s="6">
        <v>1</v>
      </c>
      <c r="X168" s="6">
        <v>1</v>
      </c>
      <c r="Y168" s="6">
        <v>1</v>
      </c>
      <c r="Z168" s="6">
        <v>1</v>
      </c>
      <c r="AA168" s="6">
        <v>0</v>
      </c>
      <c r="AB168" s="6">
        <v>0</v>
      </c>
      <c r="AC168" s="6">
        <v>1</v>
      </c>
      <c r="AD168" s="6">
        <v>1</v>
      </c>
      <c r="AE168" s="6">
        <v>0</v>
      </c>
      <c r="AF168" s="6">
        <v>1</v>
      </c>
      <c r="AG168" s="6">
        <v>1</v>
      </c>
      <c r="AH168" s="3">
        <v>1</v>
      </c>
      <c r="AI168" s="3">
        <v>0</v>
      </c>
      <c r="AJ168" s="3">
        <v>1</v>
      </c>
      <c r="AK168" s="6"/>
      <c r="AL168" s="6"/>
      <c r="AM168" s="3">
        <v>1</v>
      </c>
      <c r="AN168" s="3">
        <v>1</v>
      </c>
      <c r="AO168" s="3">
        <v>1</v>
      </c>
      <c r="AP168" s="3">
        <v>1</v>
      </c>
      <c r="AQ168" s="3">
        <v>0</v>
      </c>
      <c r="AR168" s="3">
        <v>1</v>
      </c>
      <c r="AS168" s="3">
        <v>1</v>
      </c>
      <c r="AT168" s="3">
        <v>0</v>
      </c>
      <c r="AU168" s="3">
        <v>0</v>
      </c>
      <c r="AV168" s="3">
        <v>0</v>
      </c>
      <c r="AW168" s="3">
        <v>1</v>
      </c>
      <c r="AX168" s="3">
        <v>1</v>
      </c>
      <c r="AY168" s="3">
        <v>1</v>
      </c>
      <c r="AZ168" s="6"/>
      <c r="BA168" s="6"/>
      <c r="BB168" s="3">
        <v>0</v>
      </c>
      <c r="BC168" s="3">
        <v>0</v>
      </c>
      <c r="BD168" s="3">
        <v>1</v>
      </c>
      <c r="BE168" s="3">
        <v>0</v>
      </c>
      <c r="BF168" s="3">
        <v>1</v>
      </c>
      <c r="BG168" s="3">
        <v>0</v>
      </c>
      <c r="BH168" s="3">
        <v>0</v>
      </c>
      <c r="BI168" s="3">
        <v>1</v>
      </c>
      <c r="BJ168" s="6"/>
      <c r="BK168" s="6"/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11"/>
      <c r="BT168" s="11"/>
      <c r="BU168" s="6"/>
      <c r="BV168" s="6"/>
      <c r="BW168" s="6"/>
      <c r="BX168" s="6"/>
      <c r="BY168" s="6"/>
      <c r="BZ168" s="6"/>
      <c r="CA168" s="6"/>
      <c r="CB168" s="6"/>
    </row>
    <row r="169" spans="1:80" x14ac:dyDescent="0.25">
      <c r="A169" t="s">
        <v>90</v>
      </c>
      <c r="B169" s="3" t="s">
        <v>86</v>
      </c>
      <c r="C169" s="3">
        <v>-3353477</v>
      </c>
      <c r="D169" s="3">
        <v>-7061624</v>
      </c>
      <c r="E169" s="3" t="s">
        <v>303</v>
      </c>
      <c r="F169" s="5">
        <v>-33534524</v>
      </c>
      <c r="G169" s="5">
        <v>-70620544</v>
      </c>
      <c r="H169" s="5" t="s">
        <v>94</v>
      </c>
      <c r="I169" s="6">
        <v>1</v>
      </c>
      <c r="J169" s="6">
        <v>0</v>
      </c>
      <c r="K169" s="6">
        <v>1</v>
      </c>
      <c r="L169" s="6">
        <v>1</v>
      </c>
      <c r="M169" s="6">
        <v>1</v>
      </c>
      <c r="N169" s="6">
        <v>1</v>
      </c>
      <c r="O169" s="6">
        <v>1</v>
      </c>
      <c r="P169" s="6">
        <v>0</v>
      </c>
      <c r="Q169" s="6">
        <v>1</v>
      </c>
      <c r="R169" s="6">
        <v>1</v>
      </c>
      <c r="S169" s="6">
        <v>1</v>
      </c>
      <c r="T169" s="6">
        <v>1</v>
      </c>
      <c r="U169" s="6">
        <v>0</v>
      </c>
      <c r="V169" s="6">
        <v>0</v>
      </c>
      <c r="W169" s="6">
        <v>1</v>
      </c>
      <c r="X169" s="6">
        <v>1</v>
      </c>
      <c r="Y169" s="6">
        <v>1</v>
      </c>
      <c r="Z169" s="6">
        <v>1</v>
      </c>
      <c r="AA169" s="6">
        <v>1</v>
      </c>
      <c r="AB169" s="6">
        <v>0</v>
      </c>
      <c r="AC169" s="6">
        <v>1</v>
      </c>
      <c r="AD169" s="6">
        <v>1</v>
      </c>
      <c r="AE169" s="6">
        <v>0</v>
      </c>
      <c r="AF169" s="6">
        <v>1</v>
      </c>
      <c r="AG169" s="6">
        <v>1</v>
      </c>
      <c r="AH169" s="3">
        <v>1</v>
      </c>
      <c r="AI169" s="3">
        <v>1</v>
      </c>
      <c r="AJ169" s="3">
        <v>1</v>
      </c>
      <c r="AK169" s="6"/>
      <c r="AL169" s="6"/>
      <c r="AM169" s="3">
        <v>1</v>
      </c>
      <c r="AN169" s="3">
        <v>1</v>
      </c>
      <c r="AO169" s="3">
        <v>1</v>
      </c>
      <c r="AP169" s="3">
        <v>1</v>
      </c>
      <c r="AQ169" s="3">
        <v>1</v>
      </c>
      <c r="AR169" s="3">
        <v>1</v>
      </c>
      <c r="AS169" s="3">
        <v>1</v>
      </c>
      <c r="AT169" s="3">
        <v>0</v>
      </c>
      <c r="AU169" s="3">
        <v>0</v>
      </c>
      <c r="AV169" s="3">
        <v>0</v>
      </c>
      <c r="AW169" s="3">
        <v>1</v>
      </c>
      <c r="AX169" s="3">
        <v>1</v>
      </c>
      <c r="AY169" s="3">
        <v>1</v>
      </c>
      <c r="AZ169" s="6"/>
      <c r="BA169" s="6"/>
      <c r="BB169" s="3">
        <v>1</v>
      </c>
      <c r="BC169" s="3">
        <v>0</v>
      </c>
      <c r="BD169" s="3">
        <v>1</v>
      </c>
      <c r="BE169" s="3">
        <v>1</v>
      </c>
      <c r="BF169" s="3">
        <v>1</v>
      </c>
      <c r="BG169" s="3">
        <v>0</v>
      </c>
      <c r="BH169" s="3">
        <v>1</v>
      </c>
      <c r="BI169" s="3">
        <v>1</v>
      </c>
      <c r="BJ169" s="6"/>
      <c r="BK169" s="6"/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11"/>
      <c r="BT169" s="11"/>
      <c r="BU169" s="6"/>
      <c r="BV169" s="6"/>
      <c r="BW169" s="6"/>
      <c r="BX169" s="6"/>
      <c r="BY169" s="6"/>
      <c r="BZ169" s="6"/>
      <c r="CA169" s="6"/>
      <c r="CB169" s="6"/>
    </row>
    <row r="170" spans="1:80" x14ac:dyDescent="0.25">
      <c r="A170" t="s">
        <v>90</v>
      </c>
      <c r="B170" s="3" t="s">
        <v>86</v>
      </c>
      <c r="C170" s="3">
        <v>-3353477</v>
      </c>
      <c r="D170" s="3">
        <v>-7061624</v>
      </c>
      <c r="E170" s="3" t="s">
        <v>304</v>
      </c>
      <c r="F170" s="5">
        <v>-33534554</v>
      </c>
      <c r="G170" s="5">
        <v>-70620487</v>
      </c>
      <c r="H170" s="5" t="s">
        <v>94</v>
      </c>
      <c r="I170" s="6">
        <v>0</v>
      </c>
      <c r="J170" s="6">
        <v>0</v>
      </c>
      <c r="K170" s="6">
        <v>0</v>
      </c>
      <c r="L170" s="6">
        <v>1</v>
      </c>
      <c r="M170" s="6">
        <v>1</v>
      </c>
      <c r="N170" s="6">
        <v>1</v>
      </c>
      <c r="O170" s="6">
        <v>1</v>
      </c>
      <c r="P170" s="6">
        <v>0</v>
      </c>
      <c r="Q170" s="6">
        <v>1</v>
      </c>
      <c r="R170" s="6">
        <v>1</v>
      </c>
      <c r="S170" s="6">
        <v>1</v>
      </c>
      <c r="T170" s="6">
        <v>1</v>
      </c>
      <c r="U170" s="6">
        <v>1</v>
      </c>
      <c r="V170" s="6">
        <v>0</v>
      </c>
      <c r="W170" s="6">
        <v>1</v>
      </c>
      <c r="X170" s="6">
        <v>1</v>
      </c>
      <c r="Y170" s="6">
        <v>1</v>
      </c>
      <c r="Z170" s="6">
        <v>1</v>
      </c>
      <c r="AA170" s="6">
        <v>1</v>
      </c>
      <c r="AB170" s="6">
        <v>0</v>
      </c>
      <c r="AC170" s="6">
        <v>1</v>
      </c>
      <c r="AD170" s="6">
        <v>1</v>
      </c>
      <c r="AE170" s="6">
        <v>0</v>
      </c>
      <c r="AF170" s="6">
        <v>1</v>
      </c>
      <c r="AG170" s="6">
        <v>1</v>
      </c>
      <c r="AH170" s="3">
        <v>1</v>
      </c>
      <c r="AI170" s="3">
        <v>1</v>
      </c>
      <c r="AJ170" s="3">
        <v>1</v>
      </c>
      <c r="AK170" s="6"/>
      <c r="AL170" s="6"/>
      <c r="AM170" s="3">
        <v>1</v>
      </c>
      <c r="AN170" s="3">
        <v>1</v>
      </c>
      <c r="AO170" s="3">
        <v>1</v>
      </c>
      <c r="AP170" s="3">
        <v>1</v>
      </c>
      <c r="AQ170" s="3">
        <v>1</v>
      </c>
      <c r="AR170" s="3">
        <v>0</v>
      </c>
      <c r="AS170" s="3">
        <v>1</v>
      </c>
      <c r="AT170" s="3">
        <v>0</v>
      </c>
      <c r="AU170" s="3">
        <v>0</v>
      </c>
      <c r="AV170" s="3">
        <v>0</v>
      </c>
      <c r="AW170" s="3">
        <v>1</v>
      </c>
      <c r="AX170" s="3">
        <v>1</v>
      </c>
      <c r="AY170" s="3">
        <v>1</v>
      </c>
      <c r="AZ170" s="6"/>
      <c r="BA170" s="6"/>
      <c r="BB170" s="3">
        <v>0</v>
      </c>
      <c r="BC170" s="3">
        <v>1</v>
      </c>
      <c r="BD170" s="3">
        <v>1</v>
      </c>
      <c r="BE170" s="3">
        <v>1</v>
      </c>
      <c r="BF170" s="3">
        <v>1</v>
      </c>
      <c r="BG170" s="3">
        <v>1</v>
      </c>
      <c r="BH170" s="3">
        <v>1</v>
      </c>
      <c r="BI170" s="3">
        <v>1</v>
      </c>
      <c r="BJ170" s="6"/>
      <c r="BK170" s="6"/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11"/>
      <c r="BT170" s="11"/>
      <c r="BU170" s="6"/>
      <c r="BV170" s="6"/>
      <c r="BW170" s="6"/>
      <c r="BX170" s="6"/>
      <c r="BY170" s="6"/>
      <c r="BZ170" s="6"/>
      <c r="CA170" s="6"/>
      <c r="CB170" s="6"/>
    </row>
    <row r="171" spans="1:80" x14ac:dyDescent="0.25">
      <c r="A171" t="s">
        <v>90</v>
      </c>
      <c r="B171" s="3" t="s">
        <v>86</v>
      </c>
      <c r="C171" s="3">
        <v>-3353477</v>
      </c>
      <c r="D171" s="3">
        <v>-7061624</v>
      </c>
      <c r="E171" s="3" t="s">
        <v>305</v>
      </c>
      <c r="F171" s="5">
        <v>-33534020</v>
      </c>
      <c r="G171" s="5">
        <v>-70619807</v>
      </c>
      <c r="H171" s="5" t="s">
        <v>306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12"/>
      <c r="AI171" s="12"/>
      <c r="AJ171" s="12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1"/>
      <c r="BT171" s="11"/>
      <c r="BU171" s="6"/>
      <c r="BV171" s="6"/>
      <c r="BW171" s="6"/>
      <c r="BX171" s="6"/>
      <c r="BY171" s="6"/>
      <c r="BZ171" s="6"/>
      <c r="CA171" s="6"/>
      <c r="CB171" s="6"/>
    </row>
    <row r="172" spans="1:80" x14ac:dyDescent="0.25">
      <c r="A172" t="s">
        <v>90</v>
      </c>
      <c r="B172" s="3" t="s">
        <v>86</v>
      </c>
      <c r="C172" s="3">
        <v>-3353477</v>
      </c>
      <c r="D172" s="3">
        <v>-7061624</v>
      </c>
      <c r="E172" s="3" t="s">
        <v>307</v>
      </c>
      <c r="F172" s="5">
        <v>-33533284</v>
      </c>
      <c r="G172" s="5">
        <v>-70616970</v>
      </c>
      <c r="H172" s="5" t="s">
        <v>183</v>
      </c>
      <c r="I172" s="6">
        <v>0</v>
      </c>
      <c r="J172" s="6">
        <v>0</v>
      </c>
      <c r="K172" s="6">
        <v>0</v>
      </c>
      <c r="L172" s="6">
        <v>1</v>
      </c>
      <c r="M172" s="6">
        <v>0</v>
      </c>
      <c r="N172" s="6">
        <v>1</v>
      </c>
      <c r="O172" s="6">
        <v>1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6">
        <v>0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6">
        <v>1</v>
      </c>
      <c r="AB172" s="6">
        <v>0</v>
      </c>
      <c r="AC172" s="6">
        <v>1</v>
      </c>
      <c r="AD172" s="6">
        <v>1</v>
      </c>
      <c r="AE172" s="6">
        <v>0</v>
      </c>
      <c r="AF172" s="6">
        <v>1</v>
      </c>
      <c r="AG172" s="6">
        <v>1</v>
      </c>
      <c r="AH172" s="12">
        <v>1</v>
      </c>
      <c r="AI172" s="12">
        <v>1</v>
      </c>
      <c r="AJ172" s="12">
        <v>1</v>
      </c>
      <c r="AK172" s="6"/>
      <c r="AL172" s="6"/>
      <c r="AM172" s="6">
        <v>1</v>
      </c>
      <c r="AN172" s="6">
        <v>1</v>
      </c>
      <c r="AO172" s="6">
        <v>1</v>
      </c>
      <c r="AP172" s="6">
        <v>1</v>
      </c>
      <c r="AQ172" s="6">
        <v>1</v>
      </c>
      <c r="AR172" s="6">
        <v>1</v>
      </c>
      <c r="AS172" s="6">
        <v>1</v>
      </c>
      <c r="AT172" s="6">
        <v>0</v>
      </c>
      <c r="AU172" s="6">
        <v>0</v>
      </c>
      <c r="AV172" s="6">
        <v>0</v>
      </c>
      <c r="AW172" s="6">
        <v>1</v>
      </c>
      <c r="AX172" s="6">
        <v>1</v>
      </c>
      <c r="AY172" s="6">
        <v>1</v>
      </c>
      <c r="AZ172" s="6"/>
      <c r="BA172" s="6"/>
      <c r="BB172" s="6">
        <v>0</v>
      </c>
      <c r="BC172" s="6">
        <v>0</v>
      </c>
      <c r="BD172" s="6">
        <v>1</v>
      </c>
      <c r="BE172" s="6">
        <v>1</v>
      </c>
      <c r="BF172" s="6">
        <v>1</v>
      </c>
      <c r="BG172" s="6">
        <v>0</v>
      </c>
      <c r="BH172" s="6">
        <v>1</v>
      </c>
      <c r="BI172" s="6">
        <v>1</v>
      </c>
      <c r="BJ172" s="6"/>
      <c r="BK172" s="6"/>
      <c r="BL172" s="6">
        <v>0</v>
      </c>
      <c r="BM172" s="6">
        <v>0</v>
      </c>
      <c r="BN172" s="6">
        <v>0</v>
      </c>
      <c r="BO172" s="6">
        <v>1</v>
      </c>
      <c r="BP172" s="6">
        <v>0</v>
      </c>
      <c r="BQ172" s="6">
        <v>1</v>
      </c>
      <c r="BR172" s="6">
        <v>0</v>
      </c>
      <c r="BS172" s="11"/>
      <c r="BT172" s="11"/>
      <c r="BU172" s="6"/>
      <c r="BV172" s="6"/>
      <c r="BW172" s="6"/>
      <c r="BX172" s="6"/>
      <c r="BY172" s="6"/>
      <c r="BZ172" s="6"/>
      <c r="CA172" s="6"/>
      <c r="CB172" s="6"/>
    </row>
    <row r="173" spans="1:80" x14ac:dyDescent="0.25">
      <c r="A173" t="s">
        <v>90</v>
      </c>
      <c r="B173" s="3" t="s">
        <v>86</v>
      </c>
      <c r="C173" s="3">
        <v>-3353477</v>
      </c>
      <c r="D173" s="3">
        <v>-7061624</v>
      </c>
      <c r="E173" s="3" t="s">
        <v>308</v>
      </c>
      <c r="F173" s="5">
        <v>-33533898</v>
      </c>
      <c r="G173" s="5">
        <v>-70619583</v>
      </c>
      <c r="H173" s="5" t="s">
        <v>94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1</v>
      </c>
      <c r="O173" s="6">
        <v>0</v>
      </c>
      <c r="P173" s="6">
        <v>1</v>
      </c>
      <c r="Q173" s="6">
        <v>1</v>
      </c>
      <c r="R173" s="6">
        <v>1</v>
      </c>
      <c r="S173" s="6">
        <v>1</v>
      </c>
      <c r="T173" s="6">
        <v>1</v>
      </c>
      <c r="U173" s="6">
        <v>0</v>
      </c>
      <c r="V173" s="6">
        <v>1</v>
      </c>
      <c r="W173" s="6">
        <v>1</v>
      </c>
      <c r="X173" s="6">
        <v>1</v>
      </c>
      <c r="Y173" s="6">
        <v>1</v>
      </c>
      <c r="Z173" s="6">
        <v>1</v>
      </c>
      <c r="AA173" s="6">
        <v>1</v>
      </c>
      <c r="AB173" s="6">
        <v>0</v>
      </c>
      <c r="AC173" s="6">
        <v>1</v>
      </c>
      <c r="AD173" s="6">
        <v>1</v>
      </c>
      <c r="AE173" s="6">
        <v>1</v>
      </c>
      <c r="AF173" s="6">
        <v>1</v>
      </c>
      <c r="AG173" s="6">
        <v>1</v>
      </c>
      <c r="AH173" s="6">
        <v>1</v>
      </c>
      <c r="AI173" s="6">
        <v>1</v>
      </c>
      <c r="AJ173" s="6">
        <v>1</v>
      </c>
      <c r="AK173" s="6"/>
      <c r="AL173" s="6"/>
      <c r="AM173" s="6">
        <v>0</v>
      </c>
      <c r="AN173" s="6">
        <v>1</v>
      </c>
      <c r="AO173" s="6">
        <v>1</v>
      </c>
      <c r="AP173" s="6">
        <v>1</v>
      </c>
      <c r="AQ173" s="6">
        <v>1</v>
      </c>
      <c r="AR173" s="6">
        <v>0</v>
      </c>
      <c r="AS173" s="6">
        <v>1</v>
      </c>
      <c r="AT173" s="6">
        <v>1</v>
      </c>
      <c r="AU173" s="6">
        <v>0</v>
      </c>
      <c r="AV173" s="6">
        <v>0</v>
      </c>
      <c r="AW173" s="6">
        <v>1</v>
      </c>
      <c r="AX173" s="6">
        <v>1</v>
      </c>
      <c r="AY173" s="6">
        <v>1</v>
      </c>
      <c r="AZ173" s="6"/>
      <c r="BA173" s="6"/>
      <c r="BB173" s="6">
        <v>0</v>
      </c>
      <c r="BC173" s="6">
        <v>0</v>
      </c>
      <c r="BD173" s="6">
        <v>1</v>
      </c>
      <c r="BE173" s="6">
        <v>1</v>
      </c>
      <c r="BF173" s="6">
        <v>0</v>
      </c>
      <c r="BG173" s="6">
        <v>1</v>
      </c>
      <c r="BH173" s="6">
        <v>0</v>
      </c>
      <c r="BI173" s="6">
        <v>1</v>
      </c>
      <c r="BJ173" s="6"/>
      <c r="BK173" s="6"/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11"/>
      <c r="BT173" s="11"/>
      <c r="BU173" s="6"/>
      <c r="BV173" s="6"/>
      <c r="BW173" s="6"/>
      <c r="BX173" s="6"/>
      <c r="BY173" s="6"/>
      <c r="BZ173" s="6"/>
      <c r="CA173" s="6"/>
      <c r="CB173" s="6"/>
    </row>
    <row r="174" spans="1:80" x14ac:dyDescent="0.25">
      <c r="A174" t="s">
        <v>90</v>
      </c>
      <c r="B174" s="3" t="s">
        <v>86</v>
      </c>
      <c r="C174" s="3">
        <v>-3353477</v>
      </c>
      <c r="D174" s="3">
        <v>-7061624</v>
      </c>
      <c r="E174" s="3" t="s">
        <v>309</v>
      </c>
      <c r="F174" s="5">
        <v>-33533268</v>
      </c>
      <c r="G174" s="5">
        <v>-70616238</v>
      </c>
      <c r="H174" s="5" t="s">
        <v>94</v>
      </c>
      <c r="I174" s="6">
        <v>1</v>
      </c>
      <c r="J174" s="6">
        <v>9</v>
      </c>
      <c r="K174" s="6">
        <v>9</v>
      </c>
      <c r="L174" s="6">
        <v>1</v>
      </c>
      <c r="M174" s="6">
        <v>1</v>
      </c>
      <c r="N174" s="6">
        <v>1</v>
      </c>
      <c r="O174" s="6">
        <v>1</v>
      </c>
      <c r="P174" s="6">
        <v>1</v>
      </c>
      <c r="Q174" s="6">
        <v>1</v>
      </c>
      <c r="R174" s="6">
        <v>1</v>
      </c>
      <c r="S174" s="6">
        <v>1</v>
      </c>
      <c r="T174" s="6">
        <v>1</v>
      </c>
      <c r="U174" s="6">
        <v>0</v>
      </c>
      <c r="V174" s="6">
        <v>1</v>
      </c>
      <c r="W174" s="6">
        <v>1</v>
      </c>
      <c r="X174" s="6">
        <v>1</v>
      </c>
      <c r="Y174" s="6">
        <v>1</v>
      </c>
      <c r="Z174" s="6">
        <v>1</v>
      </c>
      <c r="AA174" s="6">
        <v>1</v>
      </c>
      <c r="AB174" s="6">
        <v>0</v>
      </c>
      <c r="AC174" s="6">
        <v>1</v>
      </c>
      <c r="AD174" s="6">
        <v>1</v>
      </c>
      <c r="AE174" s="6">
        <v>0</v>
      </c>
      <c r="AF174" s="6">
        <v>1</v>
      </c>
      <c r="AG174" s="6">
        <v>1</v>
      </c>
      <c r="AH174" s="6">
        <v>1</v>
      </c>
      <c r="AI174" s="6">
        <v>1</v>
      </c>
      <c r="AJ174" s="6">
        <v>1</v>
      </c>
      <c r="AK174" s="6"/>
      <c r="AL174" s="6"/>
      <c r="AM174" s="6">
        <v>1</v>
      </c>
      <c r="AN174" s="6">
        <v>1</v>
      </c>
      <c r="AO174" s="6">
        <v>1</v>
      </c>
      <c r="AP174" s="6">
        <v>1</v>
      </c>
      <c r="AQ174" s="6">
        <v>1</v>
      </c>
      <c r="AR174" s="6">
        <v>1</v>
      </c>
      <c r="AS174" s="6">
        <v>1</v>
      </c>
      <c r="AT174" s="6">
        <v>1</v>
      </c>
      <c r="AU174" s="6">
        <v>1</v>
      </c>
      <c r="AV174" s="6">
        <v>0</v>
      </c>
      <c r="AW174" s="6">
        <v>1</v>
      </c>
      <c r="AX174" s="6">
        <v>1</v>
      </c>
      <c r="AY174" s="6">
        <v>1</v>
      </c>
      <c r="AZ174" s="6"/>
      <c r="BA174" s="6"/>
      <c r="BB174" s="6">
        <v>1</v>
      </c>
      <c r="BC174" s="6">
        <v>1</v>
      </c>
      <c r="BD174" s="6">
        <v>1</v>
      </c>
      <c r="BE174" s="6">
        <v>1</v>
      </c>
      <c r="BF174" s="6">
        <v>1</v>
      </c>
      <c r="BG174" s="6">
        <v>0</v>
      </c>
      <c r="BH174" s="6">
        <v>1</v>
      </c>
      <c r="BI174" s="6">
        <v>1</v>
      </c>
      <c r="BJ174" s="6"/>
      <c r="BK174" s="6"/>
      <c r="BL174" s="6">
        <v>0</v>
      </c>
      <c r="BM174" s="6">
        <v>0</v>
      </c>
      <c r="BN174" s="6">
        <v>0</v>
      </c>
      <c r="BO174" s="6">
        <v>1</v>
      </c>
      <c r="BP174" s="6">
        <v>0</v>
      </c>
      <c r="BQ174" s="6">
        <v>0</v>
      </c>
      <c r="BR174" s="6">
        <v>0</v>
      </c>
      <c r="BS174" s="11"/>
      <c r="BT174" s="11"/>
      <c r="BU174" s="6"/>
      <c r="BV174" s="6"/>
      <c r="BW174" s="6"/>
      <c r="BX174" s="6"/>
      <c r="BY174" s="6"/>
      <c r="BZ174" s="6"/>
      <c r="CA174" s="6"/>
      <c r="CB174" s="6"/>
    </row>
    <row r="175" spans="1:80" x14ac:dyDescent="0.25">
      <c r="A175" t="s">
        <v>90</v>
      </c>
      <c r="B175" s="3" t="s">
        <v>86</v>
      </c>
      <c r="C175" s="3">
        <v>-3353477</v>
      </c>
      <c r="D175" s="3">
        <v>-7061624</v>
      </c>
      <c r="E175" s="3" t="s">
        <v>310</v>
      </c>
      <c r="F175" s="5">
        <v>-33533789</v>
      </c>
      <c r="G175" s="5">
        <v>-70616494</v>
      </c>
      <c r="H175" s="5" t="s">
        <v>94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12"/>
      <c r="AI175" s="12"/>
      <c r="AJ175" s="12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>
        <v>1</v>
      </c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1"/>
      <c r="BT175" s="11"/>
      <c r="BU175" s="6"/>
      <c r="BV175" s="6"/>
      <c r="BW175" s="6"/>
      <c r="BX175" s="6"/>
      <c r="BY175" s="6"/>
      <c r="BZ175" s="6"/>
      <c r="CA175" s="6"/>
      <c r="CB175" s="6"/>
    </row>
    <row r="176" spans="1:80" x14ac:dyDescent="0.25">
      <c r="A176" t="s">
        <v>90</v>
      </c>
      <c r="B176" s="3" t="s">
        <v>86</v>
      </c>
      <c r="C176" s="3">
        <v>-3353477</v>
      </c>
      <c r="D176" s="3">
        <v>-7061624</v>
      </c>
      <c r="E176" s="3" t="s">
        <v>311</v>
      </c>
      <c r="F176" s="5">
        <v>-33533231</v>
      </c>
      <c r="G176" s="5">
        <v>-70615459</v>
      </c>
      <c r="H176" s="5" t="s">
        <v>94</v>
      </c>
      <c r="I176" s="6">
        <v>1</v>
      </c>
      <c r="J176" s="6">
        <v>0</v>
      </c>
      <c r="K176" s="6">
        <v>1</v>
      </c>
      <c r="L176" s="6">
        <v>1</v>
      </c>
      <c r="M176" s="6">
        <v>1</v>
      </c>
      <c r="N176" s="6">
        <v>1</v>
      </c>
      <c r="O176" s="6">
        <v>1</v>
      </c>
      <c r="P176" s="6">
        <v>1</v>
      </c>
      <c r="Q176" s="6">
        <v>1</v>
      </c>
      <c r="R176" s="6">
        <v>1</v>
      </c>
      <c r="S176" s="6">
        <v>1</v>
      </c>
      <c r="T176" s="6">
        <v>1</v>
      </c>
      <c r="U176" s="6">
        <v>0</v>
      </c>
      <c r="V176" s="6">
        <v>0</v>
      </c>
      <c r="W176" s="6">
        <v>1</v>
      </c>
      <c r="X176" s="6">
        <v>1</v>
      </c>
      <c r="Y176" s="6">
        <v>1</v>
      </c>
      <c r="Z176" s="6">
        <v>1</v>
      </c>
      <c r="AA176" s="6">
        <v>1</v>
      </c>
      <c r="AB176" s="6">
        <v>0</v>
      </c>
      <c r="AC176" s="6">
        <v>1</v>
      </c>
      <c r="AD176" s="6">
        <v>1</v>
      </c>
      <c r="AE176" s="6">
        <v>0</v>
      </c>
      <c r="AF176" s="6">
        <v>1</v>
      </c>
      <c r="AG176" s="6">
        <v>1</v>
      </c>
      <c r="AH176" s="12">
        <v>1</v>
      </c>
      <c r="AI176" s="12">
        <v>1</v>
      </c>
      <c r="AJ176" s="12">
        <v>1</v>
      </c>
      <c r="AK176" s="6"/>
      <c r="AL176" s="6"/>
      <c r="AM176" s="6">
        <v>1</v>
      </c>
      <c r="AN176" s="6">
        <v>1</v>
      </c>
      <c r="AO176" s="6">
        <v>1</v>
      </c>
      <c r="AP176" s="6">
        <v>1</v>
      </c>
      <c r="AQ176" s="6">
        <v>1</v>
      </c>
      <c r="AR176" s="6">
        <v>0</v>
      </c>
      <c r="AS176" s="6">
        <v>1</v>
      </c>
      <c r="AT176" s="6">
        <v>1</v>
      </c>
      <c r="AU176" s="6">
        <v>0</v>
      </c>
      <c r="AV176" s="6">
        <v>1</v>
      </c>
      <c r="AW176" s="6">
        <v>1</v>
      </c>
      <c r="AX176" s="6">
        <v>1</v>
      </c>
      <c r="AY176" s="6">
        <v>1</v>
      </c>
      <c r="AZ176" s="6"/>
      <c r="BA176" s="6"/>
      <c r="BB176" s="6">
        <v>1</v>
      </c>
      <c r="BC176" s="6">
        <v>1</v>
      </c>
      <c r="BD176" s="6">
        <v>1</v>
      </c>
      <c r="BE176" s="6">
        <v>0</v>
      </c>
      <c r="BF176" s="6">
        <v>1</v>
      </c>
      <c r="BG176" s="6">
        <v>0</v>
      </c>
      <c r="BH176" s="6">
        <v>1</v>
      </c>
      <c r="BI176" s="6">
        <v>1</v>
      </c>
      <c r="BJ176" s="6"/>
      <c r="BK176" s="6"/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11"/>
      <c r="BT176" s="11"/>
      <c r="BU176" s="6"/>
      <c r="BV176" s="6"/>
      <c r="BW176" s="6"/>
      <c r="BX176" s="6"/>
      <c r="BY176" s="6"/>
      <c r="BZ176" s="6"/>
      <c r="CA176" s="6"/>
      <c r="CB176" s="6"/>
    </row>
    <row r="177" spans="1:80" x14ac:dyDescent="0.25">
      <c r="A177" t="s">
        <v>90</v>
      </c>
      <c r="B177" s="3" t="s">
        <v>86</v>
      </c>
      <c r="C177" s="3">
        <v>-3353477</v>
      </c>
      <c r="D177" s="3">
        <v>-7061624</v>
      </c>
      <c r="E177" s="3" t="s">
        <v>312</v>
      </c>
      <c r="F177" s="5">
        <v>-33533385</v>
      </c>
      <c r="G177" s="5">
        <v>-70615855</v>
      </c>
      <c r="H177" s="5" t="s">
        <v>96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11"/>
      <c r="BT177" s="11"/>
      <c r="BU177" s="6"/>
      <c r="BV177" s="6"/>
      <c r="BW177" s="6"/>
      <c r="BX177" s="6"/>
      <c r="BY177" s="6"/>
      <c r="BZ177" s="6"/>
      <c r="CA177" s="6"/>
      <c r="CB177" s="6"/>
    </row>
    <row r="178" spans="1:80" x14ac:dyDescent="0.25">
      <c r="A178" t="s">
        <v>90</v>
      </c>
      <c r="B178" s="3" t="s">
        <v>86</v>
      </c>
      <c r="C178" s="3">
        <v>-3353477</v>
      </c>
      <c r="D178" s="3">
        <v>-7061624</v>
      </c>
      <c r="E178" s="3" t="s">
        <v>313</v>
      </c>
      <c r="F178" s="5">
        <v>-33533303</v>
      </c>
      <c r="G178" s="5">
        <v>-70615833</v>
      </c>
      <c r="H178" s="5" t="s">
        <v>94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1</v>
      </c>
      <c r="P178" s="6">
        <v>0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1</v>
      </c>
      <c r="X178" s="6">
        <v>0</v>
      </c>
      <c r="Y178" s="6">
        <v>0</v>
      </c>
      <c r="Z178" s="6">
        <v>1</v>
      </c>
      <c r="AA178" s="6">
        <v>0</v>
      </c>
      <c r="AB178" s="6">
        <v>0</v>
      </c>
      <c r="AC178" s="6">
        <v>1</v>
      </c>
      <c r="AD178" s="6">
        <v>1</v>
      </c>
      <c r="AE178" s="6">
        <v>0</v>
      </c>
      <c r="AF178" s="6">
        <v>0</v>
      </c>
      <c r="AG178" s="6">
        <v>1</v>
      </c>
      <c r="AH178" s="12">
        <v>1</v>
      </c>
      <c r="AI178" s="12">
        <v>1</v>
      </c>
      <c r="AJ178" s="12">
        <v>1</v>
      </c>
      <c r="AK178" s="6"/>
      <c r="AL178" s="6"/>
      <c r="AM178" s="6">
        <v>1</v>
      </c>
      <c r="AN178" s="6">
        <v>1</v>
      </c>
      <c r="AO178" s="6">
        <v>0</v>
      </c>
      <c r="AP178" s="6">
        <v>1</v>
      </c>
      <c r="AQ178" s="6">
        <v>1</v>
      </c>
      <c r="AR178" s="6">
        <v>0</v>
      </c>
      <c r="AS178" s="6">
        <v>1</v>
      </c>
      <c r="AT178" s="6">
        <v>0</v>
      </c>
      <c r="AU178" s="6">
        <v>0</v>
      </c>
      <c r="AV178" s="6">
        <v>0</v>
      </c>
      <c r="AW178" s="6">
        <v>1</v>
      </c>
      <c r="AX178" s="6">
        <v>1</v>
      </c>
      <c r="AY178" s="6">
        <v>1</v>
      </c>
      <c r="AZ178" s="6"/>
      <c r="BA178" s="6"/>
      <c r="BB178" s="6">
        <v>0</v>
      </c>
      <c r="BC178" s="6">
        <v>0</v>
      </c>
      <c r="BD178" s="6">
        <v>1</v>
      </c>
      <c r="BE178" s="6">
        <v>0</v>
      </c>
      <c r="BF178" s="6">
        <v>0</v>
      </c>
      <c r="BG178" s="6">
        <v>0</v>
      </c>
      <c r="BH178" s="6">
        <v>0</v>
      </c>
      <c r="BI178" s="6">
        <v>1</v>
      </c>
      <c r="BJ178" s="6"/>
      <c r="BK178" s="6"/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11"/>
      <c r="BT178" s="11"/>
      <c r="BU178" s="6"/>
      <c r="BV178" s="6"/>
      <c r="BW178" s="6"/>
      <c r="BX178" s="6"/>
      <c r="BY178" s="6"/>
      <c r="BZ178" s="6"/>
      <c r="CA178" s="6"/>
      <c r="CB178" s="6"/>
    </row>
    <row r="179" spans="1:80" x14ac:dyDescent="0.25">
      <c r="A179" t="s">
        <v>90</v>
      </c>
      <c r="B179" s="3" t="s">
        <v>86</v>
      </c>
      <c r="C179" s="3">
        <v>-3353477</v>
      </c>
      <c r="D179" s="3">
        <v>-7061624</v>
      </c>
      <c r="E179" s="3" t="s">
        <v>314</v>
      </c>
      <c r="F179" s="5">
        <v>-33533161</v>
      </c>
      <c r="G179" s="5">
        <v>-70615227</v>
      </c>
      <c r="H179" s="5" t="s">
        <v>96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12"/>
      <c r="AI179" s="12"/>
      <c r="AJ179" s="12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11"/>
      <c r="BT179" s="11"/>
      <c r="BU179" s="6"/>
      <c r="BV179" s="6"/>
      <c r="BW179" s="6"/>
      <c r="BX179" s="6"/>
      <c r="BY179" s="6"/>
      <c r="BZ179" s="6"/>
      <c r="CA179" s="6"/>
      <c r="CB179" s="6"/>
    </row>
    <row r="180" spans="1:80" x14ac:dyDescent="0.25">
      <c r="A180" t="s">
        <v>90</v>
      </c>
      <c r="B180" s="3" t="s">
        <v>86</v>
      </c>
      <c r="C180" s="3">
        <v>-3353477</v>
      </c>
      <c r="D180" s="3">
        <v>-7061624</v>
      </c>
      <c r="E180" s="3" t="s">
        <v>315</v>
      </c>
      <c r="F180" s="5">
        <v>-33533170</v>
      </c>
      <c r="G180" s="5">
        <v>-70615221</v>
      </c>
      <c r="H180" s="5" t="s">
        <v>132</v>
      </c>
      <c r="I180" s="6">
        <v>0</v>
      </c>
      <c r="J180" s="6">
        <v>0</v>
      </c>
      <c r="K180" s="6">
        <v>1</v>
      </c>
      <c r="L180" s="6">
        <v>1</v>
      </c>
      <c r="M180" s="6">
        <v>1</v>
      </c>
      <c r="N180" s="6">
        <v>1</v>
      </c>
      <c r="O180" s="6">
        <v>1</v>
      </c>
      <c r="P180" s="6">
        <v>1</v>
      </c>
      <c r="Q180" s="6">
        <v>1</v>
      </c>
      <c r="R180" s="6">
        <v>1</v>
      </c>
      <c r="S180" s="6">
        <v>0</v>
      </c>
      <c r="T180" s="6">
        <v>1</v>
      </c>
      <c r="U180" s="6">
        <v>0</v>
      </c>
      <c r="V180" s="6">
        <v>0</v>
      </c>
      <c r="W180" s="6">
        <v>0</v>
      </c>
      <c r="X180" s="6">
        <v>1</v>
      </c>
      <c r="Y180" s="6">
        <v>1</v>
      </c>
      <c r="Z180" s="6">
        <v>1</v>
      </c>
      <c r="AA180" s="6">
        <v>1</v>
      </c>
      <c r="AB180" s="6">
        <v>0</v>
      </c>
      <c r="AC180" s="6">
        <v>0</v>
      </c>
      <c r="AD180" s="6">
        <v>1</v>
      </c>
      <c r="AE180" s="6">
        <v>1</v>
      </c>
      <c r="AF180" s="6">
        <v>0</v>
      </c>
      <c r="AG180" s="6">
        <v>1</v>
      </c>
      <c r="AH180" s="6">
        <v>1</v>
      </c>
      <c r="AI180" s="6">
        <v>1</v>
      </c>
      <c r="AJ180" s="6">
        <v>1</v>
      </c>
      <c r="AK180" s="6"/>
      <c r="AL180" s="6"/>
      <c r="AM180" s="6">
        <v>1</v>
      </c>
      <c r="AN180" s="6">
        <v>1</v>
      </c>
      <c r="AO180" s="6">
        <v>1</v>
      </c>
      <c r="AP180" s="6">
        <v>1</v>
      </c>
      <c r="AQ180" s="6">
        <v>1</v>
      </c>
      <c r="AR180" s="6">
        <v>1</v>
      </c>
      <c r="AS180" s="6">
        <v>1</v>
      </c>
      <c r="AT180" s="6">
        <v>0</v>
      </c>
      <c r="AU180" s="6">
        <v>1</v>
      </c>
      <c r="AV180" s="6">
        <v>0</v>
      </c>
      <c r="AW180" s="6">
        <v>1</v>
      </c>
      <c r="AX180" s="6">
        <v>1</v>
      </c>
      <c r="AY180" s="6">
        <v>1</v>
      </c>
      <c r="AZ180" s="6"/>
      <c r="BA180" s="6"/>
      <c r="BB180" s="6">
        <v>0</v>
      </c>
      <c r="BC180" s="6">
        <v>1</v>
      </c>
      <c r="BD180" s="6">
        <v>1</v>
      </c>
      <c r="BE180" s="6">
        <v>1</v>
      </c>
      <c r="BF180" s="6">
        <v>0</v>
      </c>
      <c r="BG180" s="6">
        <v>0</v>
      </c>
      <c r="BH180" s="6">
        <v>1</v>
      </c>
      <c r="BI180" s="6">
        <v>1</v>
      </c>
      <c r="BJ180" s="6"/>
      <c r="BK180" s="6"/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11"/>
      <c r="BT180" s="11"/>
      <c r="BU180" s="6"/>
      <c r="BV180" s="6"/>
      <c r="BW180" s="6"/>
      <c r="BX180" s="6"/>
      <c r="BY180" s="6"/>
      <c r="BZ180" s="6"/>
      <c r="CA180" s="6"/>
      <c r="CB180" s="6"/>
    </row>
    <row r="181" spans="1:80" x14ac:dyDescent="0.25">
      <c r="A181" t="s">
        <v>90</v>
      </c>
      <c r="B181" s="3" t="s">
        <v>86</v>
      </c>
      <c r="C181" s="3">
        <v>-3353477</v>
      </c>
      <c r="D181" s="3">
        <v>-7061624</v>
      </c>
      <c r="E181" s="3" t="s">
        <v>316</v>
      </c>
      <c r="F181" s="5">
        <v>-33533176</v>
      </c>
      <c r="G181" s="5">
        <v>-70614983</v>
      </c>
      <c r="H181" s="5" t="s">
        <v>94</v>
      </c>
      <c r="I181" s="6">
        <v>0</v>
      </c>
      <c r="J181" s="6">
        <v>0</v>
      </c>
      <c r="K181" s="6">
        <v>0</v>
      </c>
      <c r="L181" s="6">
        <v>1</v>
      </c>
      <c r="M181" s="6">
        <v>1</v>
      </c>
      <c r="N181" s="6">
        <v>1</v>
      </c>
      <c r="O181" s="6">
        <v>1</v>
      </c>
      <c r="P181" s="6">
        <v>1</v>
      </c>
      <c r="Q181" s="6">
        <v>1</v>
      </c>
      <c r="R181" s="6">
        <v>0</v>
      </c>
      <c r="S181" s="6">
        <v>1</v>
      </c>
      <c r="T181" s="6">
        <v>1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  <c r="AB181" s="6">
        <v>0</v>
      </c>
      <c r="AC181" s="6">
        <v>1</v>
      </c>
      <c r="AD181" s="6">
        <v>0</v>
      </c>
      <c r="AE181" s="6">
        <v>0</v>
      </c>
      <c r="AF181" s="6">
        <v>1</v>
      </c>
      <c r="AG181" s="6">
        <v>1</v>
      </c>
      <c r="AH181" s="12">
        <v>1</v>
      </c>
      <c r="AI181" s="12">
        <v>1</v>
      </c>
      <c r="AJ181" s="12">
        <v>1</v>
      </c>
      <c r="AK181" s="6"/>
      <c r="AL181" s="6"/>
      <c r="AM181" s="6">
        <v>1</v>
      </c>
      <c r="AN181" s="6">
        <v>1</v>
      </c>
      <c r="AO181" s="6">
        <v>1</v>
      </c>
      <c r="AP181" s="6">
        <v>1</v>
      </c>
      <c r="AQ181" s="6">
        <v>1</v>
      </c>
      <c r="AR181" s="6">
        <v>0</v>
      </c>
      <c r="AS181" s="6">
        <v>1</v>
      </c>
      <c r="AT181" s="6">
        <v>0</v>
      </c>
      <c r="AU181" s="6">
        <v>0</v>
      </c>
      <c r="AV181" s="6">
        <v>0</v>
      </c>
      <c r="AW181" s="6">
        <v>1</v>
      </c>
      <c r="AX181" s="6">
        <v>1</v>
      </c>
      <c r="AY181" s="6">
        <v>1</v>
      </c>
      <c r="AZ181" s="6"/>
      <c r="BA181" s="6"/>
      <c r="BB181" s="6">
        <v>0</v>
      </c>
      <c r="BC181" s="6">
        <v>1</v>
      </c>
      <c r="BD181" s="6">
        <v>0</v>
      </c>
      <c r="BE181" s="6">
        <v>0</v>
      </c>
      <c r="BF181" s="6">
        <v>0</v>
      </c>
      <c r="BG181" s="6">
        <v>0</v>
      </c>
      <c r="BH181" s="6">
        <v>1</v>
      </c>
      <c r="BI181" s="6">
        <v>1</v>
      </c>
      <c r="BJ181" s="6"/>
      <c r="BK181" s="6"/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11"/>
      <c r="BT181" s="11"/>
      <c r="BU181" s="6"/>
      <c r="BV181" s="6"/>
      <c r="BW181" s="6"/>
      <c r="BX181" s="6"/>
      <c r="BY181" s="6"/>
      <c r="BZ181" s="6"/>
      <c r="CA181" s="6"/>
      <c r="CB181" s="6"/>
    </row>
    <row r="182" spans="1:80" x14ac:dyDescent="0.25">
      <c r="A182" t="s">
        <v>90</v>
      </c>
      <c r="B182" s="3" t="s">
        <v>86</v>
      </c>
      <c r="C182" s="3">
        <v>-3353477</v>
      </c>
      <c r="D182" s="3">
        <v>-7061624</v>
      </c>
      <c r="E182" s="3" t="s">
        <v>317</v>
      </c>
      <c r="F182" s="5">
        <v>-33533066</v>
      </c>
      <c r="G182" s="5">
        <v>-70614788</v>
      </c>
      <c r="H182" s="5" t="s">
        <v>318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1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1</v>
      </c>
      <c r="AD182" s="6">
        <v>0</v>
      </c>
      <c r="AE182" s="6">
        <v>0</v>
      </c>
      <c r="AF182" s="6">
        <v>1</v>
      </c>
      <c r="AG182" s="6">
        <v>1</v>
      </c>
      <c r="AH182" s="12">
        <v>0</v>
      </c>
      <c r="AI182" s="12">
        <v>0</v>
      </c>
      <c r="AJ182" s="12">
        <v>0</v>
      </c>
      <c r="AK182" s="6"/>
      <c r="AL182" s="6"/>
      <c r="AM182" s="6">
        <v>1</v>
      </c>
      <c r="AN182" s="6">
        <v>1</v>
      </c>
      <c r="AO182" s="6">
        <v>0</v>
      </c>
      <c r="AP182" s="6">
        <v>1</v>
      </c>
      <c r="AQ182" s="6">
        <v>1</v>
      </c>
      <c r="AR182" s="6">
        <v>1</v>
      </c>
      <c r="AS182" s="6">
        <v>1</v>
      </c>
      <c r="AT182" s="6">
        <v>1</v>
      </c>
      <c r="AU182" s="6">
        <v>1</v>
      </c>
      <c r="AV182" s="6">
        <v>0</v>
      </c>
      <c r="AW182" s="6">
        <v>1</v>
      </c>
      <c r="AX182" s="6">
        <v>1</v>
      </c>
      <c r="AY182" s="6">
        <v>1</v>
      </c>
      <c r="AZ182" s="6"/>
      <c r="BA182" s="6"/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1</v>
      </c>
      <c r="BJ182" s="6"/>
      <c r="BK182" s="6"/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11"/>
      <c r="BT182" s="11"/>
      <c r="BU182" s="6"/>
      <c r="BV182" s="6"/>
      <c r="BW182" s="6"/>
      <c r="BX182" s="6"/>
      <c r="BY182" s="6"/>
      <c r="BZ182" s="6"/>
      <c r="CA182" s="6"/>
      <c r="CB182" s="6"/>
    </row>
    <row r="183" spans="1:80" x14ac:dyDescent="0.25">
      <c r="A183" t="s">
        <v>319</v>
      </c>
      <c r="B183" s="3" t="s">
        <v>84</v>
      </c>
      <c r="C183" s="5">
        <v>-3352762</v>
      </c>
      <c r="D183" s="5">
        <v>-7062166</v>
      </c>
      <c r="E183" s="6" t="s">
        <v>320</v>
      </c>
      <c r="F183" s="6">
        <v>-33526717</v>
      </c>
      <c r="G183" s="6">
        <v>-70620850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7"/>
      <c r="AQ183" s="7"/>
      <c r="AR183" s="6">
        <v>0</v>
      </c>
      <c r="AS183" s="6">
        <v>0</v>
      </c>
      <c r="AT183" s="6">
        <v>1</v>
      </c>
      <c r="AU183" s="6">
        <v>0</v>
      </c>
      <c r="AV183" s="6">
        <v>0</v>
      </c>
      <c r="AW183" s="6">
        <v>1</v>
      </c>
      <c r="AX183" s="6">
        <v>1</v>
      </c>
      <c r="AY183" s="6">
        <v>1</v>
      </c>
      <c r="AZ183" s="6">
        <v>1</v>
      </c>
      <c r="BA183" s="7"/>
      <c r="BB183" s="7"/>
      <c r="BC183" s="6">
        <v>1</v>
      </c>
      <c r="BD183" s="6">
        <v>0</v>
      </c>
      <c r="BE183" s="6">
        <v>0</v>
      </c>
      <c r="BF183" s="6">
        <v>0</v>
      </c>
      <c r="BG183" s="6">
        <v>0</v>
      </c>
      <c r="BH183" s="7"/>
      <c r="BI183" s="7"/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7"/>
      <c r="BP183" s="7"/>
      <c r="BQ183" s="6">
        <v>0</v>
      </c>
      <c r="BR183" s="6">
        <v>1</v>
      </c>
      <c r="BS183" s="6">
        <v>1</v>
      </c>
      <c r="BT183" s="6">
        <v>0</v>
      </c>
    </row>
    <row r="184" spans="1:80" x14ac:dyDescent="0.25">
      <c r="A184" t="s">
        <v>319</v>
      </c>
      <c r="B184" s="3" t="s">
        <v>84</v>
      </c>
      <c r="C184" s="5">
        <v>-3352762</v>
      </c>
      <c r="D184" s="5">
        <v>-7062166</v>
      </c>
      <c r="E184" s="6" t="s">
        <v>321</v>
      </c>
      <c r="F184" s="6">
        <v>-33527156</v>
      </c>
      <c r="G184" s="6">
        <v>-70618306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7"/>
      <c r="AQ184" s="7"/>
      <c r="AR184" s="6"/>
      <c r="AS184" s="6"/>
      <c r="AT184" s="6"/>
      <c r="AU184" s="6"/>
      <c r="AV184" s="6"/>
      <c r="AW184" s="6"/>
      <c r="AX184" s="6"/>
      <c r="AY184" s="6"/>
      <c r="AZ184" s="6"/>
      <c r="BA184" s="7"/>
      <c r="BB184" s="7"/>
      <c r="BC184" s="6"/>
      <c r="BD184" s="6"/>
      <c r="BE184" s="6"/>
      <c r="BF184" s="6"/>
      <c r="BG184" s="6"/>
      <c r="BH184" s="7"/>
      <c r="BI184" s="7"/>
      <c r="BJ184" s="6"/>
      <c r="BK184" s="6"/>
      <c r="BL184" s="6"/>
      <c r="BM184" s="6"/>
      <c r="BN184" s="6"/>
      <c r="BO184" s="7"/>
      <c r="BP184" s="7"/>
      <c r="BQ184" s="6"/>
      <c r="BR184" s="6"/>
      <c r="BS184" s="6"/>
      <c r="BT184" s="6"/>
    </row>
    <row r="185" spans="1:80" x14ac:dyDescent="0.25">
      <c r="A185" t="s">
        <v>319</v>
      </c>
      <c r="B185" s="3" t="s">
        <v>84</v>
      </c>
      <c r="C185" s="5">
        <v>-3352762</v>
      </c>
      <c r="D185" s="5">
        <v>-7062166</v>
      </c>
      <c r="E185" s="6" t="s">
        <v>322</v>
      </c>
      <c r="F185" s="6">
        <v>-3352690</v>
      </c>
      <c r="G185" s="6">
        <v>-7061688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7"/>
      <c r="AQ185" s="7"/>
      <c r="AR185" s="6">
        <v>0</v>
      </c>
      <c r="AS185" s="6">
        <v>0</v>
      </c>
      <c r="AT185" s="6">
        <v>1</v>
      </c>
      <c r="AU185" s="6">
        <v>0</v>
      </c>
      <c r="AV185" s="6">
        <v>1</v>
      </c>
      <c r="AW185" s="6">
        <v>1</v>
      </c>
      <c r="AX185" s="6">
        <v>1</v>
      </c>
      <c r="AY185" s="6">
        <v>1</v>
      </c>
      <c r="AZ185" s="6">
        <v>1</v>
      </c>
      <c r="BA185" s="7"/>
      <c r="BB185" s="7"/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7"/>
      <c r="BI185" s="7"/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7"/>
      <c r="BP185" s="7"/>
      <c r="BQ185" s="6">
        <v>1</v>
      </c>
      <c r="BR185" s="6">
        <v>1</v>
      </c>
      <c r="BS185" s="6">
        <v>1</v>
      </c>
      <c r="BT185" s="6">
        <v>0</v>
      </c>
    </row>
    <row r="186" spans="1:80" x14ac:dyDescent="0.25">
      <c r="A186" t="s">
        <v>319</v>
      </c>
      <c r="B186" s="3" t="s">
        <v>84</v>
      </c>
      <c r="C186" s="5">
        <v>-3352762</v>
      </c>
      <c r="D186" s="5">
        <v>-7062166</v>
      </c>
      <c r="E186" s="6" t="s">
        <v>323</v>
      </c>
      <c r="F186" s="6">
        <v>-33523286</v>
      </c>
      <c r="G186" s="6">
        <v>-70616841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7"/>
      <c r="AQ186" s="7"/>
      <c r="AR186" s="6">
        <v>0</v>
      </c>
      <c r="AS186" s="6">
        <v>0</v>
      </c>
      <c r="AT186" s="6">
        <v>0</v>
      </c>
      <c r="AU186" s="6">
        <v>1</v>
      </c>
      <c r="AV186" s="6">
        <v>1</v>
      </c>
      <c r="AW186" s="6">
        <v>0</v>
      </c>
      <c r="AX186" s="6">
        <v>0</v>
      </c>
      <c r="AY186" s="6">
        <v>1</v>
      </c>
      <c r="AZ186" s="6">
        <v>0</v>
      </c>
      <c r="BA186" s="7"/>
      <c r="BB186" s="7"/>
      <c r="BC186" s="6">
        <v>0</v>
      </c>
      <c r="BD186" s="6">
        <v>0</v>
      </c>
      <c r="BE186" s="6">
        <v>0</v>
      </c>
      <c r="BF186" s="6">
        <v>1</v>
      </c>
      <c r="BG186" s="6">
        <v>0</v>
      </c>
      <c r="BH186" s="7"/>
      <c r="BI186" s="7"/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7"/>
      <c r="BP186" s="7"/>
      <c r="BQ186" s="6">
        <v>1</v>
      </c>
      <c r="BR186" s="6">
        <v>0</v>
      </c>
      <c r="BS186" s="6">
        <v>0</v>
      </c>
      <c r="BT186" s="6">
        <v>0</v>
      </c>
    </row>
    <row r="187" spans="1:80" x14ac:dyDescent="0.25">
      <c r="A187" t="s">
        <v>319</v>
      </c>
      <c r="B187" s="3" t="s">
        <v>84</v>
      </c>
      <c r="C187" s="5">
        <v>-3352762</v>
      </c>
      <c r="D187" s="5">
        <v>-7062166</v>
      </c>
      <c r="E187" s="6" t="s">
        <v>324</v>
      </c>
      <c r="F187" s="6">
        <v>-33529629</v>
      </c>
      <c r="G187" s="6">
        <v>-70616614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7"/>
      <c r="AQ187" s="7"/>
      <c r="AR187" s="6"/>
      <c r="AS187" s="6"/>
      <c r="AT187" s="6"/>
      <c r="AU187" s="6"/>
      <c r="AV187" s="6"/>
      <c r="AW187" s="6"/>
      <c r="AX187" s="6"/>
      <c r="AY187" s="6"/>
      <c r="AZ187" s="6"/>
      <c r="BA187" s="7"/>
      <c r="BB187" s="7"/>
      <c r="BC187" s="6"/>
      <c r="BD187" s="6"/>
      <c r="BE187" s="6"/>
      <c r="BF187" s="6"/>
      <c r="BG187" s="6"/>
      <c r="BH187" s="7"/>
      <c r="BI187" s="7"/>
      <c r="BJ187" s="6"/>
      <c r="BK187" s="6"/>
      <c r="BL187" s="6"/>
      <c r="BM187" s="6"/>
      <c r="BN187" s="6"/>
      <c r="BO187" s="7"/>
      <c r="BP187" s="7"/>
      <c r="BQ187" s="6"/>
      <c r="BR187" s="6"/>
      <c r="BS187" s="6"/>
      <c r="BT187" s="6"/>
    </row>
    <row r="188" spans="1:80" x14ac:dyDescent="0.25">
      <c r="A188" t="s">
        <v>319</v>
      </c>
      <c r="B188" s="3" t="s">
        <v>84</v>
      </c>
      <c r="C188" s="5">
        <v>-3352762</v>
      </c>
      <c r="D188" s="5">
        <v>-7062166</v>
      </c>
      <c r="E188" s="6" t="s">
        <v>325</v>
      </c>
      <c r="F188" s="6">
        <v>-33531593</v>
      </c>
      <c r="G188" s="6">
        <v>-70617614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1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7"/>
      <c r="AQ188" s="7"/>
      <c r="AR188" s="6">
        <v>0</v>
      </c>
      <c r="AS188" s="6">
        <v>0</v>
      </c>
      <c r="AT188" s="6">
        <v>1</v>
      </c>
      <c r="AU188" s="6">
        <v>0</v>
      </c>
      <c r="AV188" s="6">
        <v>0</v>
      </c>
      <c r="AW188" s="6">
        <v>0</v>
      </c>
      <c r="AX188" s="6">
        <v>1</v>
      </c>
      <c r="AY188" s="6">
        <v>1</v>
      </c>
      <c r="AZ188" s="6">
        <v>1</v>
      </c>
      <c r="BA188" s="7"/>
      <c r="BB188" s="7"/>
      <c r="BC188" s="6">
        <v>1</v>
      </c>
      <c r="BD188" s="6">
        <v>0</v>
      </c>
      <c r="BE188" s="6">
        <v>0</v>
      </c>
      <c r="BF188" s="6">
        <v>0</v>
      </c>
      <c r="BG188" s="6">
        <v>0</v>
      </c>
      <c r="BH188" s="7"/>
      <c r="BI188" s="7"/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7"/>
      <c r="BP188" s="7"/>
      <c r="BQ188" s="6">
        <v>1</v>
      </c>
      <c r="BR188" s="6">
        <v>0</v>
      </c>
      <c r="BS188" s="6">
        <v>1</v>
      </c>
      <c r="BT188" s="6">
        <v>0</v>
      </c>
    </row>
    <row r="189" spans="1:80" x14ac:dyDescent="0.25">
      <c r="A189" t="s">
        <v>319</v>
      </c>
      <c r="B189" s="3" t="s">
        <v>84</v>
      </c>
      <c r="C189" s="5">
        <v>-3352762</v>
      </c>
      <c r="D189" s="5">
        <v>-7062166</v>
      </c>
      <c r="E189" s="6" t="s">
        <v>326</v>
      </c>
      <c r="F189" s="6">
        <v>-33531881</v>
      </c>
      <c r="G189" s="6">
        <v>-70620488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1</v>
      </c>
      <c r="W189" s="6">
        <v>0</v>
      </c>
      <c r="X189" s="6">
        <v>1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1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1</v>
      </c>
      <c r="AL189" s="6">
        <v>0</v>
      </c>
      <c r="AM189" s="6">
        <v>1</v>
      </c>
      <c r="AN189" s="6">
        <v>0</v>
      </c>
      <c r="AO189" s="6">
        <v>0</v>
      </c>
      <c r="AP189" s="7"/>
      <c r="AQ189" s="7"/>
      <c r="AR189" s="16">
        <v>0</v>
      </c>
      <c r="AS189" s="1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1</v>
      </c>
      <c r="AZ189" s="6">
        <v>1</v>
      </c>
      <c r="BA189" s="7"/>
      <c r="BB189" s="7"/>
      <c r="BC189" s="6">
        <v>0</v>
      </c>
      <c r="BD189" s="6">
        <v>1</v>
      </c>
      <c r="BE189" s="6">
        <v>0</v>
      </c>
      <c r="BF189" s="6">
        <v>0</v>
      </c>
      <c r="BG189" s="6">
        <v>0</v>
      </c>
      <c r="BH189" s="7"/>
      <c r="BI189" s="7"/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7"/>
      <c r="BP189" s="7"/>
      <c r="BQ189" s="6">
        <v>0</v>
      </c>
      <c r="BR189" s="6">
        <v>0</v>
      </c>
      <c r="BS189" s="6">
        <v>0</v>
      </c>
      <c r="BT189" s="6">
        <v>0</v>
      </c>
    </row>
    <row r="190" spans="1:80" x14ac:dyDescent="0.25">
      <c r="A190" t="s">
        <v>319</v>
      </c>
      <c r="B190" s="3" t="s">
        <v>85</v>
      </c>
      <c r="C190" s="5">
        <v>-3352980</v>
      </c>
      <c r="D190" s="5">
        <v>-7062310</v>
      </c>
      <c r="E190" s="3" t="s">
        <v>327</v>
      </c>
      <c r="F190" s="5">
        <v>-33530849</v>
      </c>
      <c r="G190" s="5">
        <v>-70626460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7"/>
      <c r="AQ190" s="7"/>
      <c r="AR190" s="6"/>
      <c r="AS190" s="6"/>
      <c r="AT190" s="6"/>
      <c r="AU190" s="6"/>
      <c r="AV190" s="6"/>
      <c r="AW190" s="6"/>
      <c r="AX190" s="6"/>
      <c r="AY190" s="6"/>
      <c r="AZ190" s="6"/>
      <c r="BA190" s="7"/>
      <c r="BB190" s="7"/>
      <c r="BC190" s="6"/>
      <c r="BD190" s="6"/>
      <c r="BE190" s="6"/>
      <c r="BF190" s="6"/>
      <c r="BG190" s="6"/>
      <c r="BH190" s="7"/>
      <c r="BI190" s="7"/>
      <c r="BJ190" s="6"/>
      <c r="BK190" s="6"/>
      <c r="BL190" s="6"/>
      <c r="BM190" s="6"/>
      <c r="BN190" s="6"/>
      <c r="BO190" s="7"/>
      <c r="BP190" s="7"/>
      <c r="BQ190" s="6"/>
      <c r="BR190" s="6"/>
      <c r="BS190" s="6"/>
      <c r="BT190" s="6"/>
    </row>
    <row r="191" spans="1:80" x14ac:dyDescent="0.25">
      <c r="A191" t="s">
        <v>319</v>
      </c>
      <c r="B191" s="3" t="s">
        <v>85</v>
      </c>
      <c r="C191" s="5">
        <v>-3352980</v>
      </c>
      <c r="D191" s="5">
        <v>-7062310</v>
      </c>
      <c r="E191" s="6" t="s">
        <v>328</v>
      </c>
      <c r="F191" s="6">
        <v>-33526717</v>
      </c>
      <c r="G191" s="6">
        <v>-70620850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7"/>
      <c r="AQ191" s="7"/>
      <c r="AR191" s="6">
        <v>0</v>
      </c>
      <c r="AS191" s="6">
        <v>0</v>
      </c>
      <c r="AT191" s="6">
        <v>1</v>
      </c>
      <c r="AU191" s="6">
        <v>0</v>
      </c>
      <c r="AV191" s="6">
        <v>0</v>
      </c>
      <c r="AW191" s="6">
        <v>1</v>
      </c>
      <c r="AX191" s="6">
        <v>1</v>
      </c>
      <c r="AY191" s="6">
        <v>1</v>
      </c>
      <c r="AZ191" s="6">
        <v>1</v>
      </c>
      <c r="BA191" s="7"/>
      <c r="BB191" s="7"/>
      <c r="BC191" s="6">
        <v>1</v>
      </c>
      <c r="BD191" s="6">
        <v>0</v>
      </c>
      <c r="BE191" s="6">
        <v>0</v>
      </c>
      <c r="BF191" s="6">
        <v>0</v>
      </c>
      <c r="BG191" s="6">
        <v>0</v>
      </c>
      <c r="BH191" s="7"/>
      <c r="BI191" s="7"/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7"/>
      <c r="BP191" s="7"/>
      <c r="BQ191" s="6">
        <v>0</v>
      </c>
      <c r="BR191" s="6">
        <v>1</v>
      </c>
      <c r="BS191" s="6">
        <v>1</v>
      </c>
      <c r="BT191" s="6">
        <v>0</v>
      </c>
    </row>
    <row r="192" spans="1:80" x14ac:dyDescent="0.25">
      <c r="A192" t="s">
        <v>319</v>
      </c>
      <c r="B192" s="3" t="s">
        <v>85</v>
      </c>
      <c r="C192" s="5">
        <v>-3352980</v>
      </c>
      <c r="D192" s="5">
        <v>-7062310</v>
      </c>
      <c r="E192" s="6" t="s">
        <v>329</v>
      </c>
      <c r="F192" s="6">
        <v>-33531881</v>
      </c>
      <c r="G192" s="6">
        <v>-70620488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6">
        <v>0</v>
      </c>
      <c r="X192" s="6">
        <v>1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1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1</v>
      </c>
      <c r="AL192" s="6">
        <v>0</v>
      </c>
      <c r="AM192" s="6">
        <v>1</v>
      </c>
      <c r="AN192" s="6">
        <v>0</v>
      </c>
      <c r="AO192" s="6">
        <v>0</v>
      </c>
      <c r="AP192" s="7"/>
      <c r="AQ192" s="7"/>
      <c r="AR192" s="16">
        <v>0</v>
      </c>
      <c r="AS192" s="1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1</v>
      </c>
      <c r="AZ192" s="6">
        <v>1</v>
      </c>
      <c r="BA192" s="7"/>
      <c r="BB192" s="7"/>
      <c r="BC192" s="6">
        <v>0</v>
      </c>
      <c r="BD192" s="6">
        <v>1</v>
      </c>
      <c r="BE192" s="6">
        <v>0</v>
      </c>
      <c r="BF192" s="6">
        <v>0</v>
      </c>
      <c r="BG192" s="6">
        <v>0</v>
      </c>
      <c r="BH192" s="7"/>
      <c r="BI192" s="7"/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7"/>
      <c r="BP192" s="7"/>
      <c r="BQ192" s="6">
        <v>0</v>
      </c>
      <c r="BR192" s="6">
        <v>0</v>
      </c>
      <c r="BS192" s="6">
        <v>0</v>
      </c>
      <c r="BT192" s="6">
        <v>0</v>
      </c>
    </row>
    <row r="193" spans="1:72" x14ac:dyDescent="0.25">
      <c r="A193" t="s">
        <v>319</v>
      </c>
      <c r="B193" s="3" t="s">
        <v>87</v>
      </c>
      <c r="C193" s="8">
        <v>-33494037</v>
      </c>
      <c r="D193" s="6">
        <v>-70597500</v>
      </c>
      <c r="E193" s="3" t="s">
        <v>330</v>
      </c>
      <c r="F193" s="3">
        <v>-33493212</v>
      </c>
      <c r="G193" s="3">
        <v>-70599914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7"/>
      <c r="AQ193" s="7"/>
      <c r="AR193" s="3"/>
      <c r="AS193" s="3"/>
      <c r="AT193" s="3"/>
      <c r="AU193" s="3"/>
      <c r="AV193" s="3"/>
      <c r="AW193" s="3"/>
      <c r="AX193" s="3"/>
      <c r="AY193" s="3"/>
      <c r="AZ193" s="3"/>
      <c r="BA193" s="7"/>
      <c r="BB193" s="7"/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7"/>
      <c r="BI193" s="7"/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7"/>
      <c r="BP193" s="7"/>
      <c r="BQ193" s="3">
        <v>0</v>
      </c>
      <c r="BR193" s="3">
        <v>0</v>
      </c>
      <c r="BS193" s="3">
        <v>0</v>
      </c>
      <c r="BT193" s="3">
        <v>0</v>
      </c>
    </row>
    <row r="194" spans="1:72" x14ac:dyDescent="0.25">
      <c r="A194" t="s">
        <v>319</v>
      </c>
      <c r="B194" s="3" t="s">
        <v>87</v>
      </c>
      <c r="C194" s="8">
        <v>-33494037</v>
      </c>
      <c r="D194" s="6">
        <v>-70597500</v>
      </c>
      <c r="E194" s="3" t="s">
        <v>331</v>
      </c>
      <c r="F194" s="3">
        <v>-33493900</v>
      </c>
      <c r="G194" s="3">
        <v>-70601745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7"/>
      <c r="AQ194" s="7"/>
      <c r="AR194" s="3"/>
      <c r="AS194" s="3"/>
      <c r="AT194" s="3"/>
      <c r="AU194" s="3"/>
      <c r="AV194" s="3"/>
      <c r="AW194" s="3"/>
      <c r="AX194" s="3"/>
      <c r="AY194" s="3"/>
      <c r="AZ194" s="3"/>
      <c r="BA194" s="7"/>
      <c r="BB194" s="7"/>
      <c r="BC194" s="3"/>
      <c r="BD194" s="3"/>
      <c r="BE194" s="3"/>
      <c r="BF194" s="3"/>
      <c r="BG194" s="3"/>
      <c r="BH194" s="7"/>
      <c r="BI194" s="7"/>
      <c r="BJ194" s="3"/>
      <c r="BK194" s="3"/>
      <c r="BL194" s="3"/>
      <c r="BM194" s="3"/>
      <c r="BN194" s="3"/>
      <c r="BO194" s="7"/>
      <c r="BP194" s="7"/>
      <c r="BQ194" s="3"/>
      <c r="BR194" s="3"/>
      <c r="BS194" s="3"/>
      <c r="BT194" s="3"/>
    </row>
    <row r="195" spans="1:72" x14ac:dyDescent="0.25">
      <c r="A195" t="s">
        <v>319</v>
      </c>
      <c r="B195" s="3" t="s">
        <v>87</v>
      </c>
      <c r="C195" s="8">
        <v>-33494037</v>
      </c>
      <c r="D195" s="6">
        <v>-70597500</v>
      </c>
      <c r="E195" s="3" t="s">
        <v>332</v>
      </c>
      <c r="F195" s="5">
        <v>-33494070</v>
      </c>
      <c r="G195" s="5">
        <v>-70602749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7"/>
      <c r="AQ195" s="7"/>
      <c r="AR195" s="6"/>
      <c r="AS195" s="6"/>
      <c r="AT195" s="6"/>
      <c r="AU195" s="6"/>
      <c r="AV195" s="6"/>
      <c r="AW195" s="6"/>
      <c r="AX195" s="6"/>
      <c r="AY195" s="6"/>
      <c r="AZ195" s="6"/>
      <c r="BA195" s="7"/>
      <c r="BB195" s="7"/>
      <c r="BC195" s="6"/>
      <c r="BD195" s="6"/>
      <c r="BE195" s="6"/>
      <c r="BF195" s="6"/>
      <c r="BG195" s="6"/>
      <c r="BH195" s="7"/>
      <c r="BI195" s="7"/>
      <c r="BJ195" s="6"/>
      <c r="BK195" s="6"/>
      <c r="BL195" s="6"/>
      <c r="BM195" s="6"/>
      <c r="BN195" s="6"/>
      <c r="BO195" s="7"/>
      <c r="BP195" s="7"/>
      <c r="BQ195" s="6"/>
      <c r="BR195" s="6"/>
      <c r="BS195" s="6"/>
      <c r="BT195" s="6"/>
    </row>
    <row r="196" spans="1:72" x14ac:dyDescent="0.25">
      <c r="A196" t="s">
        <v>319</v>
      </c>
      <c r="B196" s="3" t="s">
        <v>87</v>
      </c>
      <c r="C196" s="8">
        <v>-33494037</v>
      </c>
      <c r="D196" s="6">
        <v>-70597500</v>
      </c>
      <c r="E196" s="3" t="s">
        <v>333</v>
      </c>
      <c r="F196" s="5">
        <v>-33494124</v>
      </c>
      <c r="G196" s="5">
        <v>-70602216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7"/>
      <c r="AQ196" s="7"/>
      <c r="AR196" s="6"/>
      <c r="AS196" s="6"/>
      <c r="AT196" s="6"/>
      <c r="AU196" s="6"/>
      <c r="AV196" s="6"/>
      <c r="AW196" s="6"/>
      <c r="AX196" s="6"/>
      <c r="AY196" s="6"/>
      <c r="AZ196" s="6"/>
      <c r="BA196" s="7"/>
      <c r="BB196" s="7"/>
      <c r="BC196" s="6"/>
      <c r="BD196" s="6"/>
      <c r="BE196" s="6"/>
      <c r="BF196" s="6"/>
      <c r="BG196" s="6"/>
      <c r="BH196" s="7"/>
      <c r="BI196" s="7"/>
      <c r="BJ196" s="6"/>
      <c r="BK196" s="6"/>
      <c r="BL196" s="6"/>
      <c r="BM196" s="6"/>
      <c r="BN196" s="6"/>
      <c r="BO196" s="7"/>
      <c r="BP196" s="7"/>
      <c r="BQ196" s="6"/>
      <c r="BR196" s="6"/>
      <c r="BS196" s="6"/>
      <c r="BT196" s="6"/>
    </row>
    <row r="197" spans="1:72" x14ac:dyDescent="0.25">
      <c r="A197" t="s">
        <v>319</v>
      </c>
      <c r="B197" s="3" t="s">
        <v>87</v>
      </c>
      <c r="C197" s="8">
        <v>-33494037</v>
      </c>
      <c r="D197" s="6">
        <v>-70597500</v>
      </c>
      <c r="E197" s="3" t="s">
        <v>334</v>
      </c>
      <c r="F197" s="5">
        <v>-33495282</v>
      </c>
      <c r="G197" s="5">
        <v>-70602446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7"/>
      <c r="AQ197" s="7"/>
      <c r="AR197" s="6"/>
      <c r="AS197" s="6"/>
      <c r="AT197" s="6"/>
      <c r="AU197" s="6"/>
      <c r="AV197" s="6"/>
      <c r="AW197" s="6"/>
      <c r="AX197" s="6"/>
      <c r="AY197" s="6"/>
      <c r="AZ197" s="6"/>
      <c r="BA197" s="7"/>
      <c r="BB197" s="7"/>
      <c r="BC197" s="6"/>
      <c r="BD197" s="6"/>
      <c r="BE197" s="6"/>
      <c r="BF197" s="6"/>
      <c r="BG197" s="6"/>
      <c r="BH197" s="7"/>
      <c r="BI197" s="7"/>
      <c r="BJ197" s="6"/>
      <c r="BK197" s="6"/>
      <c r="BL197" s="6"/>
      <c r="BM197" s="6"/>
      <c r="BN197" s="6"/>
      <c r="BO197" s="7"/>
      <c r="BP197" s="7"/>
      <c r="BQ197" s="6"/>
      <c r="BR197" s="6"/>
      <c r="BS197" s="6"/>
      <c r="BT197" s="6"/>
    </row>
    <row r="198" spans="1:72" x14ac:dyDescent="0.25">
      <c r="A198" t="s">
        <v>319</v>
      </c>
      <c r="B198" s="3" t="s">
        <v>87</v>
      </c>
      <c r="C198" s="8">
        <v>-33494037</v>
      </c>
      <c r="D198" s="6">
        <v>-70597500</v>
      </c>
      <c r="E198" s="3" t="s">
        <v>335</v>
      </c>
      <c r="F198" s="5">
        <v>-3349455</v>
      </c>
      <c r="G198" s="5">
        <v>-70601959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7"/>
      <c r="AQ198" s="7"/>
      <c r="AR198" s="6"/>
      <c r="AS198" s="6"/>
      <c r="AT198" s="6"/>
      <c r="AU198" s="6"/>
      <c r="AV198" s="6"/>
      <c r="AW198" s="6"/>
      <c r="AX198" s="6"/>
      <c r="AY198" s="6"/>
      <c r="AZ198" s="6"/>
      <c r="BA198" s="7"/>
      <c r="BB198" s="7"/>
      <c r="BC198" s="6"/>
      <c r="BD198" s="6"/>
      <c r="BE198" s="6"/>
      <c r="BF198" s="6"/>
      <c r="BG198" s="6"/>
      <c r="BH198" s="7"/>
      <c r="BI198" s="7"/>
      <c r="BJ198" s="6"/>
      <c r="BK198" s="6"/>
      <c r="BL198" s="6"/>
      <c r="BM198" s="6"/>
      <c r="BN198" s="6"/>
      <c r="BO198" s="7"/>
      <c r="BP198" s="7"/>
      <c r="BQ198" s="6"/>
      <c r="BR198" s="6"/>
      <c r="BS198" s="6"/>
      <c r="BT198" s="6"/>
    </row>
    <row r="199" spans="1:72" x14ac:dyDescent="0.25">
      <c r="A199" t="s">
        <v>319</v>
      </c>
      <c r="B199" s="3" t="s">
        <v>87</v>
      </c>
      <c r="C199" s="8">
        <v>-33494037</v>
      </c>
      <c r="D199" s="6">
        <v>-70597500</v>
      </c>
      <c r="E199" s="3" t="s">
        <v>336</v>
      </c>
      <c r="F199" s="5">
        <v>-33491586</v>
      </c>
      <c r="G199" s="5">
        <v>-70599903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7"/>
      <c r="AQ199" s="7"/>
      <c r="AR199" s="6"/>
      <c r="AS199" s="6"/>
      <c r="AT199" s="6"/>
      <c r="AU199" s="6"/>
      <c r="AV199" s="6"/>
      <c r="AW199" s="6"/>
      <c r="AX199" s="6"/>
      <c r="AY199" s="6"/>
      <c r="AZ199" s="6"/>
      <c r="BA199" s="7"/>
      <c r="BB199" s="7"/>
      <c r="BC199" s="6"/>
      <c r="BD199" s="6"/>
      <c r="BE199" s="6"/>
      <c r="BF199" s="6"/>
      <c r="BG199" s="6"/>
      <c r="BH199" s="7"/>
      <c r="BI199" s="7"/>
      <c r="BJ199" s="6"/>
      <c r="BK199" s="6"/>
      <c r="BL199" s="6"/>
      <c r="BM199" s="6"/>
      <c r="BN199" s="6"/>
      <c r="BO199" s="7"/>
      <c r="BP199" s="7"/>
      <c r="BQ199" s="6"/>
      <c r="BR199" s="6"/>
      <c r="BS199" s="6"/>
      <c r="BT199" s="6"/>
    </row>
    <row r="200" spans="1:72" x14ac:dyDescent="0.25">
      <c r="A200" t="s">
        <v>319</v>
      </c>
      <c r="B200" s="3" t="s">
        <v>87</v>
      </c>
      <c r="C200" s="8">
        <v>-33494037</v>
      </c>
      <c r="D200" s="6">
        <v>-70597500</v>
      </c>
      <c r="E200" s="3" t="s">
        <v>337</v>
      </c>
      <c r="F200" s="5">
        <v>-33490677</v>
      </c>
      <c r="G200" s="5">
        <v>-70599776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7"/>
      <c r="AQ200" s="7"/>
      <c r="AR200" s="6"/>
      <c r="AS200" s="6"/>
      <c r="AT200" s="6"/>
      <c r="AU200" s="6"/>
      <c r="AV200" s="6"/>
      <c r="AW200" s="6"/>
      <c r="AX200" s="6"/>
      <c r="AY200" s="6"/>
      <c r="AZ200" s="6"/>
      <c r="BA200" s="7"/>
      <c r="BB200" s="7"/>
      <c r="BC200" s="6"/>
      <c r="BD200" s="6"/>
      <c r="BE200" s="6"/>
      <c r="BF200" s="6"/>
      <c r="BG200" s="6"/>
      <c r="BH200" s="7"/>
      <c r="BI200" s="7"/>
      <c r="BJ200" s="6"/>
      <c r="BK200" s="6"/>
      <c r="BL200" s="6"/>
      <c r="BM200" s="6"/>
      <c r="BN200" s="6"/>
      <c r="BO200" s="7"/>
      <c r="BP200" s="7"/>
      <c r="BQ200" s="6"/>
      <c r="BR200" s="6"/>
      <c r="BS200" s="6"/>
      <c r="BT200" s="6"/>
    </row>
    <row r="201" spans="1:72" x14ac:dyDescent="0.25">
      <c r="A201" t="s">
        <v>319</v>
      </c>
      <c r="B201" s="3" t="s">
        <v>87</v>
      </c>
      <c r="C201" s="8">
        <v>-33494037</v>
      </c>
      <c r="D201" s="6">
        <v>-70597500</v>
      </c>
      <c r="E201" s="3" t="s">
        <v>338</v>
      </c>
      <c r="F201" s="5">
        <v>-33490818</v>
      </c>
      <c r="G201" s="5">
        <v>-70599613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7"/>
      <c r="AQ201" s="7"/>
      <c r="AR201" s="6"/>
      <c r="AS201" s="6"/>
      <c r="AT201" s="6"/>
      <c r="AU201" s="6"/>
      <c r="AV201" s="6"/>
      <c r="AW201" s="6"/>
      <c r="AX201" s="6"/>
      <c r="AY201" s="6"/>
      <c r="AZ201" s="6"/>
      <c r="BA201" s="7"/>
      <c r="BB201" s="7"/>
      <c r="BC201" s="6"/>
      <c r="BD201" s="6"/>
      <c r="BE201" s="6"/>
      <c r="BF201" s="6"/>
      <c r="BG201" s="6"/>
      <c r="BH201" s="7"/>
      <c r="BI201" s="7"/>
      <c r="BJ201" s="6"/>
      <c r="BK201" s="6"/>
      <c r="BL201" s="6"/>
      <c r="BM201" s="6"/>
      <c r="BN201" s="6"/>
      <c r="BO201" s="7"/>
      <c r="BP201" s="7"/>
      <c r="BQ201" s="6"/>
      <c r="BR201" s="6"/>
      <c r="BS201" s="6"/>
      <c r="BT201" s="6"/>
    </row>
    <row r="202" spans="1:72" x14ac:dyDescent="0.25">
      <c r="A202" t="s">
        <v>319</v>
      </c>
      <c r="B202" s="3" t="s">
        <v>87</v>
      </c>
      <c r="C202" s="8">
        <v>-33494037</v>
      </c>
      <c r="D202" s="6">
        <v>-70597500</v>
      </c>
      <c r="E202" s="3" t="s">
        <v>339</v>
      </c>
      <c r="F202" s="5">
        <v>-33493889</v>
      </c>
      <c r="G202" s="5">
        <v>-70599807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7"/>
      <c r="AQ202" s="7"/>
      <c r="AR202" s="6"/>
      <c r="AS202" s="6"/>
      <c r="AT202" s="6"/>
      <c r="AU202" s="6"/>
      <c r="AV202" s="6"/>
      <c r="AW202" s="6"/>
      <c r="AX202" s="6"/>
      <c r="AY202" s="6"/>
      <c r="AZ202" s="6"/>
      <c r="BA202" s="7"/>
      <c r="BB202" s="7"/>
      <c r="BC202" s="6"/>
      <c r="BD202" s="6"/>
      <c r="BE202" s="6"/>
      <c r="BF202" s="6"/>
      <c r="BG202" s="6"/>
      <c r="BH202" s="7"/>
      <c r="BI202" s="7"/>
      <c r="BJ202" s="6"/>
      <c r="BK202" s="6"/>
      <c r="BL202" s="6"/>
      <c r="BM202" s="6"/>
      <c r="BN202" s="6"/>
      <c r="BO202" s="7"/>
      <c r="BP202" s="7"/>
      <c r="BQ202" s="6"/>
      <c r="BR202" s="6"/>
      <c r="BS202" s="6"/>
      <c r="BT202" s="6"/>
    </row>
    <row r="203" spans="1:72" x14ac:dyDescent="0.25">
      <c r="A203" t="s">
        <v>319</v>
      </c>
      <c r="B203" s="3" t="s">
        <v>87</v>
      </c>
      <c r="C203" s="8">
        <v>-33494037</v>
      </c>
      <c r="D203" s="6">
        <v>-70597500</v>
      </c>
      <c r="E203" s="3" t="s">
        <v>340</v>
      </c>
      <c r="F203" s="5">
        <v>-33494944</v>
      </c>
      <c r="G203" s="5">
        <v>-70599141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7"/>
      <c r="AQ203" s="7"/>
      <c r="AR203" s="6">
        <v>1</v>
      </c>
      <c r="AS203" s="6">
        <v>0</v>
      </c>
      <c r="AT203" s="6">
        <v>1</v>
      </c>
      <c r="AU203" s="6">
        <v>0</v>
      </c>
      <c r="AV203" s="6">
        <v>0</v>
      </c>
      <c r="AW203" s="6">
        <v>0</v>
      </c>
      <c r="AX203" s="6">
        <v>1</v>
      </c>
      <c r="AY203" s="6">
        <v>1</v>
      </c>
      <c r="AZ203" s="6">
        <v>0</v>
      </c>
      <c r="BA203" s="7"/>
      <c r="BB203" s="7"/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7"/>
      <c r="BI203" s="7"/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7"/>
      <c r="BP203" s="7"/>
      <c r="BQ203" s="6">
        <v>0</v>
      </c>
      <c r="BR203" s="6">
        <v>0</v>
      </c>
      <c r="BS203" s="6">
        <v>0</v>
      </c>
      <c r="BT203" s="6">
        <v>0</v>
      </c>
    </row>
    <row r="204" spans="1:72" x14ac:dyDescent="0.25">
      <c r="A204" t="s">
        <v>319</v>
      </c>
      <c r="B204" s="3" t="s">
        <v>87</v>
      </c>
      <c r="C204" s="8">
        <v>-33494037</v>
      </c>
      <c r="D204" s="6">
        <v>-70597500</v>
      </c>
      <c r="E204" s="3" t="s">
        <v>341</v>
      </c>
      <c r="F204" s="5">
        <v>-33495645</v>
      </c>
      <c r="G204" s="5">
        <v>-70599121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7"/>
      <c r="AQ204" s="7"/>
      <c r="AR204" s="6"/>
      <c r="AS204" s="6"/>
      <c r="AT204" s="6"/>
      <c r="AU204" s="6"/>
      <c r="AV204" s="6"/>
      <c r="AW204" s="6"/>
      <c r="AX204" s="6"/>
      <c r="AY204" s="6"/>
      <c r="AZ204" s="6"/>
      <c r="BA204" s="7"/>
      <c r="BB204" s="7"/>
      <c r="BC204" s="6"/>
      <c r="BD204" s="6"/>
      <c r="BE204" s="6"/>
      <c r="BF204" s="6"/>
      <c r="BG204" s="6"/>
      <c r="BH204" s="7"/>
      <c r="BI204" s="7"/>
      <c r="BJ204" s="6"/>
      <c r="BK204" s="6"/>
      <c r="BL204" s="6"/>
      <c r="BM204" s="6"/>
      <c r="BN204" s="6"/>
      <c r="BO204" s="7"/>
      <c r="BP204" s="7"/>
      <c r="BQ204" s="6"/>
      <c r="BR204" s="6"/>
      <c r="BS204" s="6"/>
      <c r="BT204" s="6"/>
    </row>
    <row r="205" spans="1:72" x14ac:dyDescent="0.25">
      <c r="A205" t="s">
        <v>319</v>
      </c>
      <c r="B205" s="3" t="s">
        <v>87</v>
      </c>
      <c r="C205" s="8">
        <v>-33494037</v>
      </c>
      <c r="D205" s="6">
        <v>-70597500</v>
      </c>
      <c r="E205" s="3" t="s">
        <v>342</v>
      </c>
      <c r="F205" s="5">
        <v>-33495645</v>
      </c>
      <c r="G205" s="5">
        <v>-70599121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7"/>
      <c r="AQ205" s="7"/>
      <c r="AR205" s="6"/>
      <c r="AS205" s="6"/>
      <c r="AT205" s="6"/>
      <c r="AU205" s="6"/>
      <c r="AV205" s="6"/>
      <c r="AW205" s="6"/>
      <c r="AX205" s="6"/>
      <c r="AY205" s="6"/>
      <c r="AZ205" s="6"/>
      <c r="BA205" s="7"/>
      <c r="BB205" s="7"/>
      <c r="BC205" s="6"/>
      <c r="BD205" s="6"/>
      <c r="BE205" s="6"/>
      <c r="BF205" s="6"/>
      <c r="BG205" s="6"/>
      <c r="BH205" s="7"/>
      <c r="BI205" s="7"/>
      <c r="BJ205" s="6"/>
      <c r="BK205" s="6"/>
      <c r="BL205" s="6"/>
      <c r="BM205" s="6"/>
      <c r="BN205" s="6"/>
      <c r="BO205" s="7"/>
      <c r="BP205" s="7"/>
      <c r="BQ205" s="6"/>
      <c r="BR205" s="6"/>
      <c r="BS205" s="6"/>
      <c r="BT205" s="6"/>
    </row>
    <row r="206" spans="1:72" x14ac:dyDescent="0.25">
      <c r="A206" t="s">
        <v>319</v>
      </c>
      <c r="B206" s="3" t="s">
        <v>87</v>
      </c>
      <c r="C206" s="8">
        <v>-33494037</v>
      </c>
      <c r="D206" s="6">
        <v>-70597500</v>
      </c>
      <c r="E206" s="3" t="s">
        <v>343</v>
      </c>
      <c r="F206" s="5">
        <v>-33495802</v>
      </c>
      <c r="G206" s="5">
        <v>-70599105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7"/>
      <c r="AQ206" s="7"/>
      <c r="AR206" s="6"/>
      <c r="AS206" s="6"/>
      <c r="AT206" s="6"/>
      <c r="AU206" s="6"/>
      <c r="AV206" s="6"/>
      <c r="AW206" s="6"/>
      <c r="AX206" s="6"/>
      <c r="AY206" s="6"/>
      <c r="AZ206" s="6"/>
      <c r="BA206" s="7"/>
      <c r="BB206" s="7"/>
      <c r="BC206" s="6"/>
      <c r="BD206" s="6"/>
      <c r="BE206" s="6"/>
      <c r="BF206" s="6"/>
      <c r="BG206" s="6"/>
      <c r="BH206" s="7"/>
      <c r="BI206" s="7"/>
      <c r="BJ206" s="6"/>
      <c r="BK206" s="6"/>
      <c r="BL206" s="6"/>
      <c r="BM206" s="6"/>
      <c r="BN206" s="6"/>
      <c r="BO206" s="7"/>
      <c r="BP206" s="7"/>
      <c r="BQ206" s="6"/>
      <c r="BR206" s="6"/>
      <c r="BS206" s="6"/>
      <c r="BT206" s="6"/>
    </row>
    <row r="207" spans="1:72" x14ac:dyDescent="0.25">
      <c r="A207" t="s">
        <v>319</v>
      </c>
      <c r="B207" s="3" t="s">
        <v>87</v>
      </c>
      <c r="C207" s="8">
        <v>-33494037</v>
      </c>
      <c r="D207" s="6">
        <v>-70597500</v>
      </c>
      <c r="E207" s="3" t="s">
        <v>344</v>
      </c>
      <c r="F207" s="5">
        <v>-33496223</v>
      </c>
      <c r="G207" s="5">
        <v>-70598690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7"/>
      <c r="AQ207" s="7"/>
      <c r="AR207" s="6"/>
      <c r="AS207" s="6"/>
      <c r="AT207" s="6"/>
      <c r="AU207" s="6"/>
      <c r="AV207" s="6"/>
      <c r="AW207" s="6"/>
      <c r="AX207" s="6"/>
      <c r="AY207" s="6"/>
      <c r="AZ207" s="6"/>
      <c r="BA207" s="7"/>
      <c r="BB207" s="7"/>
      <c r="BC207" s="6"/>
      <c r="BD207" s="6"/>
      <c r="BE207" s="6"/>
      <c r="BF207" s="6"/>
      <c r="BG207" s="6"/>
      <c r="BH207" s="7"/>
      <c r="BI207" s="7"/>
      <c r="BJ207" s="6"/>
      <c r="BK207" s="6"/>
      <c r="BL207" s="6"/>
      <c r="BM207" s="6"/>
      <c r="BN207" s="6"/>
      <c r="BO207" s="7"/>
      <c r="BP207" s="7"/>
      <c r="BQ207" s="6"/>
      <c r="BR207" s="6"/>
      <c r="BS207" s="6"/>
      <c r="BT207" s="6"/>
    </row>
    <row r="208" spans="1:72" x14ac:dyDescent="0.25">
      <c r="A208" t="s">
        <v>319</v>
      </c>
      <c r="B208" s="3" t="s">
        <v>87</v>
      </c>
      <c r="C208" s="8">
        <v>-33494037</v>
      </c>
      <c r="D208" s="6">
        <v>-70597500</v>
      </c>
      <c r="E208" s="3" t="s">
        <v>345</v>
      </c>
      <c r="F208" s="5">
        <v>-33496697</v>
      </c>
      <c r="G208" s="3">
        <v>-70598351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7"/>
      <c r="AQ208" s="7"/>
      <c r="AR208" s="6"/>
      <c r="AS208" s="6"/>
      <c r="AT208" s="6"/>
      <c r="AU208" s="6"/>
      <c r="AV208" s="6"/>
      <c r="AW208" s="6"/>
      <c r="AX208" s="6"/>
      <c r="AY208" s="6"/>
      <c r="AZ208" s="6"/>
      <c r="BA208" s="7"/>
      <c r="BB208" s="7"/>
      <c r="BC208" s="6"/>
      <c r="BD208" s="6"/>
      <c r="BE208" s="6"/>
      <c r="BF208" s="6"/>
      <c r="BG208" s="6"/>
      <c r="BH208" s="7"/>
      <c r="BI208" s="7"/>
      <c r="BJ208" s="6"/>
      <c r="BK208" s="6"/>
      <c r="BL208" s="6"/>
      <c r="BM208" s="6"/>
      <c r="BN208" s="6"/>
      <c r="BO208" s="7"/>
      <c r="BP208" s="7"/>
      <c r="BQ208" s="6"/>
      <c r="BR208" s="6"/>
      <c r="BS208" s="6"/>
      <c r="BT208" s="6"/>
    </row>
    <row r="209" spans="1:72" x14ac:dyDescent="0.25">
      <c r="A209" t="s">
        <v>319</v>
      </c>
      <c r="B209" s="3" t="s">
        <v>87</v>
      </c>
      <c r="C209" s="8">
        <v>-33494037</v>
      </c>
      <c r="D209" s="6">
        <v>-70597500</v>
      </c>
      <c r="E209" s="3" t="s">
        <v>346</v>
      </c>
      <c r="F209" s="3">
        <v>-33496845</v>
      </c>
      <c r="G209" s="3">
        <v>-70598119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7"/>
      <c r="AQ209" s="7"/>
      <c r="AR209" s="6"/>
      <c r="AS209" s="6"/>
      <c r="AT209" s="6"/>
      <c r="AU209" s="6"/>
      <c r="AV209" s="6"/>
      <c r="AW209" s="6"/>
      <c r="AX209" s="6"/>
      <c r="AY209" s="6"/>
      <c r="AZ209" s="6"/>
      <c r="BA209" s="7"/>
      <c r="BB209" s="7"/>
      <c r="BC209" s="6"/>
      <c r="BD209" s="6"/>
      <c r="BE209" s="6"/>
      <c r="BF209" s="6"/>
      <c r="BG209" s="6"/>
      <c r="BH209" s="7"/>
      <c r="BI209" s="7"/>
      <c r="BJ209" s="6"/>
      <c r="BK209" s="6"/>
      <c r="BL209" s="6"/>
      <c r="BM209" s="6"/>
      <c r="BN209" s="6"/>
      <c r="BO209" s="7"/>
      <c r="BP209" s="7"/>
      <c r="BQ209" s="6"/>
      <c r="BR209" s="6"/>
      <c r="BS209" s="6"/>
      <c r="BT209" s="6"/>
    </row>
    <row r="210" spans="1:72" x14ac:dyDescent="0.25">
      <c r="A210" t="s">
        <v>319</v>
      </c>
      <c r="B210" s="3" t="s">
        <v>87</v>
      </c>
      <c r="C210" s="8">
        <v>-33494037</v>
      </c>
      <c r="D210" s="6">
        <v>-70597500</v>
      </c>
      <c r="E210" s="3" t="s">
        <v>347</v>
      </c>
      <c r="F210" s="3">
        <v>-33497230</v>
      </c>
      <c r="G210" s="3">
        <v>-70597826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7"/>
      <c r="AQ210" s="7"/>
      <c r="AR210" s="6"/>
      <c r="AS210" s="6"/>
      <c r="AT210" s="6"/>
      <c r="AU210" s="6"/>
      <c r="AV210" s="6"/>
      <c r="AW210" s="6"/>
      <c r="AX210" s="6"/>
      <c r="AY210" s="6"/>
      <c r="AZ210" s="6"/>
      <c r="BA210" s="7"/>
      <c r="BB210" s="7"/>
      <c r="BC210" s="6"/>
      <c r="BD210" s="6"/>
      <c r="BE210" s="6"/>
      <c r="BF210" s="6"/>
      <c r="BG210" s="6"/>
      <c r="BH210" s="7"/>
      <c r="BI210" s="7"/>
      <c r="BJ210" s="6"/>
      <c r="BK210" s="6"/>
      <c r="BL210" s="6"/>
      <c r="BM210" s="6"/>
      <c r="BN210" s="6"/>
      <c r="BO210" s="7"/>
      <c r="BP210" s="7"/>
      <c r="BQ210" s="6"/>
      <c r="BR210" s="6"/>
      <c r="BS210" s="6"/>
      <c r="BT210" s="6"/>
    </row>
    <row r="211" spans="1:72" x14ac:dyDescent="0.25">
      <c r="A211" t="s">
        <v>319</v>
      </c>
      <c r="B211" s="3" t="s">
        <v>87</v>
      </c>
      <c r="C211" s="8">
        <v>-33494037</v>
      </c>
      <c r="D211" s="6">
        <v>-70597500</v>
      </c>
      <c r="E211" s="3" t="s">
        <v>348</v>
      </c>
      <c r="F211" s="3">
        <v>-33497612</v>
      </c>
      <c r="G211" s="3">
        <v>-70597230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7"/>
      <c r="AQ211" s="7"/>
      <c r="AR211" s="6"/>
      <c r="AS211" s="6"/>
      <c r="AT211" s="6"/>
      <c r="AU211" s="6"/>
      <c r="AV211" s="6"/>
      <c r="AW211" s="6"/>
      <c r="AX211" s="6"/>
      <c r="AY211" s="6"/>
      <c r="AZ211" s="6"/>
      <c r="BA211" s="7"/>
      <c r="BB211" s="7"/>
      <c r="BC211" s="6"/>
      <c r="BD211" s="6"/>
      <c r="BE211" s="6"/>
      <c r="BF211" s="6"/>
      <c r="BG211" s="6"/>
      <c r="BH211" s="7"/>
      <c r="BI211" s="7"/>
      <c r="BJ211" s="6"/>
      <c r="BK211" s="6"/>
      <c r="BL211" s="6"/>
      <c r="BM211" s="6"/>
      <c r="BN211" s="6"/>
      <c r="BO211" s="7"/>
      <c r="BP211" s="7"/>
      <c r="BQ211" s="6"/>
      <c r="BR211" s="6"/>
      <c r="BS211" s="6"/>
      <c r="BT211" s="6"/>
    </row>
    <row r="212" spans="1:72" x14ac:dyDescent="0.25">
      <c r="A212" t="s">
        <v>319</v>
      </c>
      <c r="B212" s="3" t="s">
        <v>87</v>
      </c>
      <c r="C212" s="8">
        <v>-33494037</v>
      </c>
      <c r="D212" s="6">
        <v>-70597500</v>
      </c>
      <c r="E212" s="3" t="s">
        <v>349</v>
      </c>
      <c r="F212" s="3">
        <v>-33496699</v>
      </c>
      <c r="G212" s="3">
        <v>-70598182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7"/>
      <c r="AQ212" s="7"/>
      <c r="AR212" s="6"/>
      <c r="AS212" s="6"/>
      <c r="AT212" s="6"/>
      <c r="AU212" s="6"/>
      <c r="AV212" s="6"/>
      <c r="AW212" s="6"/>
      <c r="AX212" s="6"/>
      <c r="AY212" s="6"/>
      <c r="AZ212" s="6"/>
      <c r="BA212" s="7"/>
      <c r="BB212" s="7"/>
      <c r="BC212" s="6"/>
      <c r="BD212" s="6"/>
      <c r="BE212" s="6"/>
      <c r="BF212" s="6"/>
      <c r="BG212" s="6"/>
      <c r="BH212" s="7"/>
      <c r="BI212" s="7"/>
      <c r="BJ212" s="6"/>
      <c r="BK212" s="6"/>
      <c r="BL212" s="6"/>
      <c r="BM212" s="6"/>
      <c r="BN212" s="6"/>
      <c r="BO212" s="7"/>
      <c r="BP212" s="7"/>
      <c r="BQ212" s="6"/>
      <c r="BR212" s="6"/>
      <c r="BS212" s="6"/>
      <c r="BT212" s="6"/>
    </row>
    <row r="213" spans="1:72" x14ac:dyDescent="0.25">
      <c r="A213" t="s">
        <v>319</v>
      </c>
      <c r="B213" s="3" t="s">
        <v>87</v>
      </c>
      <c r="C213" s="8">
        <v>-33494037</v>
      </c>
      <c r="D213" s="6">
        <v>-70597500</v>
      </c>
      <c r="E213" s="3" t="s">
        <v>350</v>
      </c>
      <c r="F213" s="3">
        <v>-33492120</v>
      </c>
      <c r="G213" s="3">
        <v>-70597372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7"/>
      <c r="AQ213" s="7"/>
      <c r="AR213" s="6"/>
      <c r="AS213" s="6"/>
      <c r="AT213" s="6"/>
      <c r="AU213" s="6"/>
      <c r="AV213" s="6"/>
      <c r="AW213" s="6"/>
      <c r="AX213" s="6"/>
      <c r="AY213" s="6"/>
      <c r="AZ213" s="6"/>
      <c r="BA213" s="7"/>
      <c r="BB213" s="7"/>
      <c r="BC213" s="6"/>
      <c r="BD213" s="6"/>
      <c r="BE213" s="6"/>
      <c r="BF213" s="6"/>
      <c r="BG213" s="6"/>
      <c r="BH213" s="7"/>
      <c r="BI213" s="7"/>
      <c r="BJ213" s="6"/>
      <c r="BK213" s="6"/>
      <c r="BL213" s="6"/>
      <c r="BM213" s="6"/>
      <c r="BN213" s="6"/>
      <c r="BO213" s="7"/>
      <c r="BP213" s="7"/>
      <c r="BQ213" s="6"/>
      <c r="BR213" s="6"/>
      <c r="BS213" s="6"/>
      <c r="BT213" s="6"/>
    </row>
    <row r="214" spans="1:72" x14ac:dyDescent="0.25">
      <c r="A214" t="s">
        <v>319</v>
      </c>
      <c r="B214" s="3" t="s">
        <v>87</v>
      </c>
      <c r="C214" s="8">
        <v>-33494037</v>
      </c>
      <c r="D214" s="6">
        <v>-70597500</v>
      </c>
      <c r="E214" s="3" t="s">
        <v>351</v>
      </c>
      <c r="F214" s="3">
        <v>-33493252</v>
      </c>
      <c r="G214" s="3">
        <v>-70599543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7"/>
      <c r="AQ214" s="7"/>
      <c r="AR214" s="6"/>
      <c r="AS214" s="6"/>
      <c r="AT214" s="6"/>
      <c r="AU214" s="6"/>
      <c r="AV214" s="6"/>
      <c r="AW214" s="6"/>
      <c r="AX214" s="6"/>
      <c r="AY214" s="6"/>
      <c r="AZ214" s="6"/>
      <c r="BA214" s="7"/>
      <c r="BB214" s="7"/>
      <c r="BC214" s="6"/>
      <c r="BD214" s="6"/>
      <c r="BE214" s="6"/>
      <c r="BF214" s="6"/>
      <c r="BG214" s="6"/>
      <c r="BH214" s="7"/>
      <c r="BI214" s="7"/>
      <c r="BJ214" s="6"/>
      <c r="BK214" s="6"/>
      <c r="BL214" s="6"/>
      <c r="BM214" s="6"/>
      <c r="BN214" s="6"/>
      <c r="BO214" s="7"/>
      <c r="BP214" s="7"/>
      <c r="BQ214" s="6"/>
      <c r="BR214" s="6"/>
      <c r="BS214" s="6"/>
      <c r="BT214" s="6"/>
    </row>
    <row r="215" spans="1:72" x14ac:dyDescent="0.25">
      <c r="A215" t="s">
        <v>319</v>
      </c>
      <c r="B215" s="3" t="s">
        <v>88</v>
      </c>
      <c r="C215" s="5">
        <v>-33505741</v>
      </c>
      <c r="D215" s="6">
        <v>-70624308</v>
      </c>
      <c r="E215" s="3" t="s">
        <v>352</v>
      </c>
      <c r="F215" s="3">
        <v>-33507258</v>
      </c>
      <c r="G215" s="3">
        <v>-70626628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7"/>
      <c r="AQ215" s="7"/>
      <c r="AR215" s="6"/>
      <c r="AS215" s="6"/>
      <c r="AT215" s="6"/>
      <c r="AU215" s="6"/>
      <c r="AV215" s="6"/>
      <c r="AW215" s="6"/>
      <c r="AX215" s="6"/>
      <c r="AY215" s="6"/>
      <c r="AZ215" s="6"/>
      <c r="BA215" s="7"/>
      <c r="BB215" s="7"/>
      <c r="BC215" s="6"/>
      <c r="BD215" s="6"/>
      <c r="BE215" s="6"/>
      <c r="BF215" s="6"/>
      <c r="BG215" s="6"/>
      <c r="BH215" s="7"/>
      <c r="BI215" s="7"/>
      <c r="BJ215" s="6"/>
      <c r="BK215" s="6"/>
      <c r="BL215" s="6"/>
      <c r="BM215" s="6"/>
      <c r="BN215" s="6"/>
      <c r="BO215" s="7"/>
      <c r="BP215" s="7"/>
      <c r="BQ215" s="6"/>
      <c r="BR215" s="6"/>
      <c r="BS215" s="6"/>
      <c r="BT215" s="6"/>
    </row>
    <row r="216" spans="1:72" x14ac:dyDescent="0.25">
      <c r="A216" t="s">
        <v>319</v>
      </c>
      <c r="B216" s="3" t="s">
        <v>88</v>
      </c>
      <c r="C216" s="5">
        <v>-33505741</v>
      </c>
      <c r="D216" s="6">
        <v>-70624308</v>
      </c>
      <c r="E216" s="3" t="s">
        <v>353</v>
      </c>
      <c r="F216" s="3">
        <v>-33507281</v>
      </c>
      <c r="G216" s="3">
        <v>-70626513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7"/>
      <c r="AQ216" s="7"/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1</v>
      </c>
      <c r="AX216" s="6">
        <v>0</v>
      </c>
      <c r="AY216" s="6">
        <v>0</v>
      </c>
      <c r="AZ216" s="6">
        <v>0</v>
      </c>
      <c r="BA216" s="7"/>
      <c r="BB216" s="7"/>
      <c r="BC216" s="6">
        <v>1</v>
      </c>
      <c r="BD216" s="6">
        <v>1</v>
      </c>
      <c r="BE216" s="6">
        <v>0</v>
      </c>
      <c r="BF216" s="6">
        <v>0</v>
      </c>
      <c r="BG216" s="6">
        <v>0</v>
      </c>
      <c r="BH216" s="7"/>
      <c r="BI216" s="7"/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7"/>
      <c r="BP216" s="7"/>
      <c r="BQ216" s="6">
        <v>0</v>
      </c>
      <c r="BR216" s="6">
        <v>0</v>
      </c>
      <c r="BS216" s="6">
        <v>0</v>
      </c>
      <c r="BT216" s="6">
        <v>0</v>
      </c>
    </row>
    <row r="217" spans="1:72" x14ac:dyDescent="0.25">
      <c r="A217" t="s">
        <v>319</v>
      </c>
      <c r="B217" s="3" t="s">
        <v>88</v>
      </c>
      <c r="C217" s="5">
        <v>-33505741</v>
      </c>
      <c r="D217" s="6">
        <v>-70624308</v>
      </c>
      <c r="E217" s="3" t="s">
        <v>354</v>
      </c>
      <c r="F217" s="3">
        <v>-33504772</v>
      </c>
      <c r="G217" s="3">
        <v>-70626623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7"/>
      <c r="AQ217" s="7"/>
      <c r="AR217" s="6"/>
      <c r="AS217" s="6"/>
      <c r="AT217" s="6"/>
      <c r="AU217" s="6"/>
      <c r="AV217" s="6"/>
      <c r="AW217" s="6"/>
      <c r="AX217" s="6"/>
      <c r="AY217" s="6"/>
      <c r="AZ217" s="6"/>
      <c r="BA217" s="7"/>
      <c r="BB217" s="7"/>
      <c r="BC217" s="6"/>
      <c r="BD217" s="6"/>
      <c r="BE217" s="6"/>
      <c r="BF217" s="6"/>
      <c r="BG217" s="6"/>
      <c r="BH217" s="7"/>
      <c r="BI217" s="7"/>
      <c r="BJ217" s="6"/>
      <c r="BK217" s="6"/>
      <c r="BL217" s="6"/>
      <c r="BM217" s="6"/>
      <c r="BN217" s="6"/>
      <c r="BO217" s="7"/>
      <c r="BP217" s="7"/>
      <c r="BQ217" s="6"/>
      <c r="BR217" s="6"/>
      <c r="BS217" s="6"/>
      <c r="BT217" s="6"/>
    </row>
    <row r="218" spans="1:72" x14ac:dyDescent="0.25">
      <c r="A218" t="s">
        <v>319</v>
      </c>
      <c r="B218" s="3" t="s">
        <v>88</v>
      </c>
      <c r="C218" s="5">
        <v>-33505741</v>
      </c>
      <c r="D218" s="6">
        <v>-70624308</v>
      </c>
      <c r="E218" s="3" t="s">
        <v>355</v>
      </c>
      <c r="F218" s="3">
        <v>-33503174</v>
      </c>
      <c r="G218" s="3">
        <v>-70626688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7"/>
      <c r="AQ218" s="7"/>
      <c r="AR218" s="6"/>
      <c r="AS218" s="6"/>
      <c r="AT218" s="6"/>
      <c r="AU218" s="6"/>
      <c r="AV218" s="6"/>
      <c r="AW218" s="6"/>
      <c r="AX218" s="6"/>
      <c r="AY218" s="6"/>
      <c r="AZ218" s="6"/>
      <c r="BA218" s="7"/>
      <c r="BB218" s="7"/>
      <c r="BC218" s="6"/>
      <c r="BD218" s="6"/>
      <c r="BE218" s="6"/>
      <c r="BF218" s="6"/>
      <c r="BG218" s="6"/>
      <c r="BH218" s="7"/>
      <c r="BI218" s="7"/>
      <c r="BJ218" s="6"/>
      <c r="BK218" s="6"/>
      <c r="BL218" s="6"/>
      <c r="BM218" s="6"/>
      <c r="BN218" s="6"/>
      <c r="BO218" s="7"/>
      <c r="BP218" s="7"/>
      <c r="BQ218" s="6"/>
      <c r="BR218" s="6"/>
      <c r="BS218" s="6"/>
      <c r="BT218" s="6"/>
    </row>
    <row r="219" spans="1:72" x14ac:dyDescent="0.25">
      <c r="A219" t="s">
        <v>319</v>
      </c>
      <c r="B219" s="3" t="s">
        <v>88</v>
      </c>
      <c r="C219" s="5">
        <v>-33505741</v>
      </c>
      <c r="D219" s="6">
        <v>-70624308</v>
      </c>
      <c r="E219" s="3" t="s">
        <v>356</v>
      </c>
      <c r="F219" s="3">
        <v>-33502301</v>
      </c>
      <c r="G219" s="3">
        <v>-70624436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7"/>
      <c r="AQ219" s="7"/>
      <c r="AR219" s="6"/>
      <c r="AS219" s="6"/>
      <c r="AT219" s="6"/>
      <c r="AU219" s="6"/>
      <c r="AV219" s="6"/>
      <c r="AW219" s="6"/>
      <c r="AX219" s="6"/>
      <c r="AY219" s="6"/>
      <c r="AZ219" s="6"/>
      <c r="BA219" s="7"/>
      <c r="BB219" s="7"/>
      <c r="BC219" s="6"/>
      <c r="BD219" s="6"/>
      <c r="BE219" s="6"/>
      <c r="BF219" s="6"/>
      <c r="BG219" s="6"/>
      <c r="BH219" s="7"/>
      <c r="BI219" s="7"/>
      <c r="BJ219" s="6"/>
      <c r="BK219" s="6"/>
      <c r="BL219" s="6"/>
      <c r="BM219" s="6"/>
      <c r="BN219" s="6"/>
      <c r="BO219" s="7"/>
      <c r="BP219" s="7"/>
      <c r="BQ219" s="6"/>
      <c r="BR219" s="6"/>
      <c r="BS219" s="6"/>
      <c r="BT219" s="6"/>
    </row>
    <row r="220" spans="1:72" x14ac:dyDescent="0.25">
      <c r="A220" t="s">
        <v>319</v>
      </c>
      <c r="B220" s="3" t="s">
        <v>88</v>
      </c>
      <c r="C220" s="5">
        <v>-33505741</v>
      </c>
      <c r="D220" s="6">
        <v>-70624308</v>
      </c>
      <c r="E220" s="3" t="s">
        <v>357</v>
      </c>
      <c r="F220" s="3">
        <v>-33503723</v>
      </c>
      <c r="G220" s="3">
        <v>-70621754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7"/>
      <c r="AQ220" s="7"/>
      <c r="AR220" s="6"/>
      <c r="AS220" s="6"/>
      <c r="AT220" s="6"/>
      <c r="AU220" s="6"/>
      <c r="AV220" s="6"/>
      <c r="AW220" s="6"/>
      <c r="AX220" s="6"/>
      <c r="AY220" s="6"/>
      <c r="AZ220" s="6"/>
      <c r="BA220" s="7"/>
      <c r="BB220" s="7"/>
      <c r="BC220" s="6"/>
      <c r="BD220" s="6"/>
      <c r="BE220" s="6"/>
      <c r="BF220" s="6"/>
      <c r="BG220" s="6"/>
      <c r="BH220" s="7"/>
      <c r="BI220" s="7"/>
      <c r="BJ220" s="6"/>
      <c r="BK220" s="6"/>
      <c r="BL220" s="6"/>
      <c r="BM220" s="6"/>
      <c r="BN220" s="6"/>
      <c r="BO220" s="7"/>
      <c r="BP220" s="7"/>
      <c r="BQ220" s="6"/>
      <c r="BR220" s="6"/>
      <c r="BS220" s="6"/>
      <c r="BT220" s="6"/>
    </row>
    <row r="221" spans="1:72" x14ac:dyDescent="0.25">
      <c r="A221" t="s">
        <v>319</v>
      </c>
      <c r="B221" s="3" t="s">
        <v>88</v>
      </c>
      <c r="C221" s="5">
        <v>-33505741</v>
      </c>
      <c r="D221" s="6">
        <v>-70624308</v>
      </c>
      <c r="E221" s="3" t="s">
        <v>358</v>
      </c>
      <c r="F221" s="3">
        <v>-33507094</v>
      </c>
      <c r="G221" s="3">
        <v>-70621543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7"/>
      <c r="AQ221" s="7"/>
      <c r="AR221" s="6"/>
      <c r="AS221" s="6"/>
      <c r="AT221" s="6"/>
      <c r="AU221" s="6"/>
      <c r="AV221" s="6"/>
      <c r="AW221" s="6"/>
      <c r="AX221" s="6"/>
      <c r="AY221" s="6"/>
      <c r="AZ221" s="6"/>
      <c r="BA221" s="7"/>
      <c r="BB221" s="7"/>
      <c r="BC221" s="6"/>
      <c r="BD221" s="6"/>
      <c r="BE221" s="6"/>
      <c r="BF221" s="6"/>
      <c r="BG221" s="6"/>
      <c r="BH221" s="7"/>
      <c r="BI221" s="7"/>
      <c r="BJ221" s="6"/>
      <c r="BK221" s="6"/>
      <c r="BL221" s="6"/>
      <c r="BM221" s="6"/>
      <c r="BN221" s="6"/>
      <c r="BO221" s="7"/>
      <c r="BP221" s="7"/>
      <c r="BQ221" s="6"/>
      <c r="BR221" s="6"/>
      <c r="BS221" s="6"/>
      <c r="BT221" s="6"/>
    </row>
    <row r="222" spans="1:72" x14ac:dyDescent="0.25">
      <c r="A222" t="s">
        <v>319</v>
      </c>
      <c r="B222" s="3" t="s">
        <v>88</v>
      </c>
      <c r="C222" s="5">
        <v>-33505741</v>
      </c>
      <c r="D222" s="6">
        <v>-70624308</v>
      </c>
      <c r="E222" s="3" t="s">
        <v>359</v>
      </c>
      <c r="F222" s="3">
        <v>-33506941</v>
      </c>
      <c r="G222" s="3">
        <v>-70625743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1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1</v>
      </c>
      <c r="AC222" s="6">
        <v>0</v>
      </c>
      <c r="AD222" s="6">
        <v>1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7"/>
      <c r="AQ222" s="7"/>
      <c r="AR222" s="6">
        <v>1</v>
      </c>
      <c r="AS222" s="6">
        <v>0</v>
      </c>
      <c r="AT222" s="6">
        <v>1</v>
      </c>
      <c r="AU222" s="6">
        <v>0</v>
      </c>
      <c r="AV222" s="6">
        <v>1</v>
      </c>
      <c r="AW222" s="6">
        <v>1</v>
      </c>
      <c r="AX222" s="6">
        <v>1</v>
      </c>
      <c r="AY222" s="6">
        <v>1</v>
      </c>
      <c r="AZ222" s="6">
        <v>0</v>
      </c>
      <c r="BA222" s="7"/>
      <c r="BB222" s="7"/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7"/>
      <c r="BI222" s="7"/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7"/>
      <c r="BP222" s="7"/>
      <c r="BQ222" s="6">
        <v>0</v>
      </c>
      <c r="BR222" s="6">
        <v>1</v>
      </c>
      <c r="BS222" s="6">
        <v>1</v>
      </c>
      <c r="BT222" s="6">
        <v>0</v>
      </c>
    </row>
    <row r="223" spans="1:72" x14ac:dyDescent="0.25">
      <c r="A223" t="s">
        <v>319</v>
      </c>
      <c r="B223" s="3" t="s">
        <v>89</v>
      </c>
      <c r="C223" s="9">
        <v>-33489947</v>
      </c>
      <c r="D223" s="6">
        <v>-70632479</v>
      </c>
      <c r="E223" s="13" t="s">
        <v>360</v>
      </c>
      <c r="F223" s="5">
        <v>-33489982</v>
      </c>
      <c r="G223" s="5">
        <v>-70631453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7"/>
      <c r="AQ223" s="7"/>
      <c r="AR223" s="6"/>
      <c r="AS223" s="6"/>
      <c r="AT223" s="6"/>
      <c r="AU223" s="6"/>
      <c r="AV223" s="6"/>
      <c r="AW223" s="6"/>
      <c r="AX223" s="6"/>
      <c r="AY223" s="6"/>
      <c r="AZ223" s="6"/>
      <c r="BA223" s="7"/>
      <c r="BB223" s="7"/>
      <c r="BC223" s="6"/>
      <c r="BD223" s="6"/>
      <c r="BE223" s="6"/>
      <c r="BF223" s="6"/>
      <c r="BG223" s="6"/>
      <c r="BH223" s="7"/>
      <c r="BI223" s="7"/>
      <c r="BJ223" s="6"/>
      <c r="BK223" s="6"/>
      <c r="BL223" s="6"/>
      <c r="BM223" s="6"/>
      <c r="BN223" s="6"/>
      <c r="BO223" s="7"/>
      <c r="BP223" s="7"/>
      <c r="BQ223" s="6"/>
      <c r="BR223" s="6"/>
      <c r="BS223" s="6"/>
      <c r="BT223" s="6"/>
    </row>
    <row r="224" spans="1:72" x14ac:dyDescent="0.25">
      <c r="A224" t="s">
        <v>319</v>
      </c>
      <c r="B224" s="3" t="s">
        <v>89</v>
      </c>
      <c r="C224" s="9">
        <v>-33489947</v>
      </c>
      <c r="D224" s="6">
        <v>-70632479</v>
      </c>
      <c r="E224" s="3" t="s">
        <v>361</v>
      </c>
      <c r="F224" s="3">
        <v>-334900422</v>
      </c>
      <c r="G224" s="3">
        <v>-70629941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7"/>
      <c r="AQ224" s="7"/>
      <c r="AR224" s="6"/>
      <c r="AS224" s="6"/>
      <c r="AT224" s="6"/>
      <c r="AU224" s="6"/>
      <c r="AV224" s="6"/>
      <c r="AW224" s="6"/>
      <c r="AX224" s="6"/>
      <c r="AY224" s="6"/>
      <c r="AZ224" s="6"/>
      <c r="BA224" s="7"/>
      <c r="BB224" s="7"/>
      <c r="BC224" s="6"/>
      <c r="BD224" s="6"/>
      <c r="BE224" s="6"/>
      <c r="BF224" s="6"/>
      <c r="BG224" s="6"/>
      <c r="BH224" s="7"/>
      <c r="BI224" s="7"/>
      <c r="BJ224" s="6"/>
      <c r="BK224" s="6"/>
      <c r="BL224" s="6"/>
      <c r="BM224" s="6"/>
      <c r="BN224" s="6"/>
      <c r="BO224" s="7"/>
      <c r="BP224" s="7"/>
      <c r="BQ224" s="6"/>
      <c r="BR224" s="6"/>
      <c r="BS224" s="6"/>
      <c r="BT224" s="6"/>
    </row>
    <row r="225" spans="1:75" x14ac:dyDescent="0.25">
      <c r="A225" t="s">
        <v>319</v>
      </c>
      <c r="B225" s="3" t="s">
        <v>89</v>
      </c>
      <c r="C225" s="9">
        <v>-33489947</v>
      </c>
      <c r="D225" s="6">
        <v>-70632479</v>
      </c>
      <c r="E225" s="3" t="s">
        <v>362</v>
      </c>
      <c r="F225" s="3">
        <v>-33488301</v>
      </c>
      <c r="G225" s="3">
        <v>-70628571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7"/>
      <c r="AQ225" s="7"/>
      <c r="AR225" s="6"/>
      <c r="AS225" s="6"/>
      <c r="AT225" s="6"/>
      <c r="AU225" s="6"/>
      <c r="AV225" s="6"/>
      <c r="AW225" s="6"/>
      <c r="AX225" s="6"/>
      <c r="AY225" s="6"/>
      <c r="AZ225" s="6"/>
      <c r="BA225" s="7"/>
      <c r="BB225" s="7"/>
      <c r="BC225" s="6"/>
      <c r="BD225" s="6"/>
      <c r="BE225" s="6"/>
      <c r="BF225" s="6"/>
      <c r="BG225" s="6"/>
      <c r="BH225" s="7"/>
      <c r="BI225" s="7"/>
      <c r="BJ225" s="6"/>
      <c r="BK225" s="6"/>
      <c r="BL225" s="6"/>
      <c r="BM225" s="6"/>
      <c r="BN225" s="6"/>
      <c r="BO225" s="7"/>
      <c r="BP225" s="7"/>
      <c r="BQ225" s="6"/>
      <c r="BR225" s="6"/>
      <c r="BS225" s="6"/>
      <c r="BT225" s="6"/>
    </row>
    <row r="226" spans="1:75" x14ac:dyDescent="0.25">
      <c r="A226" t="s">
        <v>319</v>
      </c>
      <c r="B226" s="3" t="s">
        <v>89</v>
      </c>
      <c r="C226" s="9">
        <v>-33489947</v>
      </c>
      <c r="D226" s="6">
        <v>-70632479</v>
      </c>
      <c r="E226" s="13" t="s">
        <v>363</v>
      </c>
      <c r="F226" s="3">
        <v>-33486851</v>
      </c>
      <c r="G226" s="3">
        <v>-70632532</v>
      </c>
      <c r="H226" s="6">
        <v>1</v>
      </c>
      <c r="I226" s="6">
        <v>1</v>
      </c>
      <c r="J226" s="6">
        <v>0</v>
      </c>
      <c r="K226" s="6">
        <v>0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7"/>
      <c r="AQ226" s="7"/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7"/>
      <c r="BB226" s="7"/>
      <c r="BC226" s="6">
        <v>0</v>
      </c>
      <c r="BD226" s="6">
        <v>0</v>
      </c>
      <c r="BE226" s="6">
        <v>0</v>
      </c>
      <c r="BF226" s="6">
        <v>1</v>
      </c>
      <c r="BG226" s="6">
        <v>0</v>
      </c>
      <c r="BH226" s="7"/>
      <c r="BI226" s="7"/>
      <c r="BJ226" s="6">
        <v>0</v>
      </c>
      <c r="BK226" s="6">
        <v>0</v>
      </c>
      <c r="BL226" s="6">
        <v>0</v>
      </c>
      <c r="BM226" s="6">
        <v>1</v>
      </c>
      <c r="BN226" s="6">
        <v>1</v>
      </c>
      <c r="BO226" s="7"/>
      <c r="BP226" s="7"/>
      <c r="BQ226" s="6">
        <v>0</v>
      </c>
      <c r="BR226" s="6">
        <v>0</v>
      </c>
      <c r="BS226" s="6">
        <v>0</v>
      </c>
      <c r="BT226" s="6">
        <v>0</v>
      </c>
    </row>
    <row r="227" spans="1:75" x14ac:dyDescent="0.25">
      <c r="A227" t="s">
        <v>319</v>
      </c>
      <c r="B227" s="3" t="s">
        <v>89</v>
      </c>
      <c r="C227" s="9">
        <v>-33489947</v>
      </c>
      <c r="D227" s="6">
        <v>-70632479</v>
      </c>
      <c r="E227" s="3" t="s">
        <v>364</v>
      </c>
      <c r="F227" s="3">
        <v>-33487916</v>
      </c>
      <c r="G227" s="3">
        <v>-70634605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1</v>
      </c>
      <c r="U227" s="6">
        <v>1</v>
      </c>
      <c r="V227" s="6">
        <v>1</v>
      </c>
      <c r="W227" s="6">
        <v>0</v>
      </c>
      <c r="X227" s="6">
        <v>1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1</v>
      </c>
      <c r="AJ227" s="6">
        <v>0</v>
      </c>
      <c r="AK227" s="6">
        <v>1</v>
      </c>
      <c r="AL227" s="6">
        <v>0</v>
      </c>
      <c r="AM227" s="6">
        <v>0</v>
      </c>
      <c r="AN227" s="6">
        <v>0</v>
      </c>
      <c r="AO227" s="6">
        <v>0</v>
      </c>
      <c r="AP227" s="7"/>
      <c r="AQ227" s="7"/>
      <c r="AR227" s="6">
        <v>1</v>
      </c>
      <c r="AS227" s="6">
        <v>0</v>
      </c>
      <c r="AT227" s="6">
        <v>1</v>
      </c>
      <c r="AU227" s="6">
        <v>0</v>
      </c>
      <c r="AV227" s="6">
        <v>0</v>
      </c>
      <c r="AW227" s="6">
        <v>0</v>
      </c>
      <c r="AX227" s="6">
        <v>0</v>
      </c>
      <c r="AY227" s="6">
        <v>1</v>
      </c>
      <c r="AZ227" s="6">
        <v>1</v>
      </c>
      <c r="BA227" s="7"/>
      <c r="BB227" s="7"/>
      <c r="BC227" s="6">
        <v>1</v>
      </c>
      <c r="BD227" s="6">
        <v>1</v>
      </c>
      <c r="BE227" s="6">
        <v>1</v>
      </c>
      <c r="BF227" s="6">
        <v>0</v>
      </c>
      <c r="BG227" s="6">
        <v>0</v>
      </c>
      <c r="BH227" s="7"/>
      <c r="BI227" s="7"/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7"/>
      <c r="BP227" s="7"/>
      <c r="BQ227" s="6">
        <v>0</v>
      </c>
      <c r="BR227" s="6">
        <v>0</v>
      </c>
      <c r="BS227" s="6">
        <v>0</v>
      </c>
      <c r="BT227" s="6">
        <v>0</v>
      </c>
    </row>
    <row r="228" spans="1:75" x14ac:dyDescent="0.25">
      <c r="A228" t="s">
        <v>319</v>
      </c>
      <c r="B228" s="3" t="s">
        <v>89</v>
      </c>
      <c r="C228" s="9">
        <v>-33489947</v>
      </c>
      <c r="D228" s="6">
        <v>-70632479</v>
      </c>
      <c r="E228" s="13" t="s">
        <v>365</v>
      </c>
      <c r="F228" s="3">
        <v>-33493131</v>
      </c>
      <c r="G228" s="3">
        <v>-70633489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7"/>
      <c r="AQ228" s="7"/>
      <c r="AR228" s="6">
        <v>1</v>
      </c>
      <c r="AS228" s="6">
        <v>0</v>
      </c>
      <c r="AT228" s="6">
        <v>1</v>
      </c>
      <c r="AU228" s="6">
        <v>0</v>
      </c>
      <c r="AV228" s="6">
        <v>1</v>
      </c>
      <c r="AW228" s="6">
        <v>1</v>
      </c>
      <c r="AX228" s="6">
        <v>1</v>
      </c>
      <c r="AY228" s="6">
        <v>1</v>
      </c>
      <c r="AZ228" s="6">
        <v>1</v>
      </c>
      <c r="BA228" s="7"/>
      <c r="BB228" s="7"/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7"/>
      <c r="BI228" s="7"/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7"/>
      <c r="BP228" s="7"/>
      <c r="BQ228" s="6">
        <v>0</v>
      </c>
      <c r="BR228" s="6">
        <v>0</v>
      </c>
      <c r="BS228" s="6">
        <v>0</v>
      </c>
      <c r="BT228" s="6">
        <v>0</v>
      </c>
    </row>
    <row r="229" spans="1:75" x14ac:dyDescent="0.25">
      <c r="A229" t="s">
        <v>319</v>
      </c>
      <c r="B229" s="3" t="s">
        <v>89</v>
      </c>
      <c r="C229" s="9">
        <v>-33489947</v>
      </c>
      <c r="D229" s="6">
        <v>-70632479</v>
      </c>
      <c r="E229" s="13" t="s">
        <v>366</v>
      </c>
      <c r="F229" s="3">
        <v>-33492022</v>
      </c>
      <c r="G229" s="3">
        <v>-70631215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7"/>
      <c r="AQ229" s="7"/>
      <c r="AR229" s="6">
        <v>0</v>
      </c>
      <c r="AS229" s="6">
        <v>0</v>
      </c>
      <c r="AT229" s="6">
        <v>1</v>
      </c>
      <c r="AU229" s="6">
        <v>0</v>
      </c>
      <c r="AV229" s="6">
        <v>0</v>
      </c>
      <c r="AW229" s="6">
        <v>0</v>
      </c>
      <c r="AX229" s="6">
        <v>1</v>
      </c>
      <c r="AY229" s="6">
        <v>1</v>
      </c>
      <c r="AZ229" s="6">
        <v>0</v>
      </c>
      <c r="BA229" s="7"/>
      <c r="BB229" s="7"/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7"/>
      <c r="BI229" s="7"/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7"/>
      <c r="BP229" s="7"/>
      <c r="BQ229" s="6">
        <v>0</v>
      </c>
      <c r="BR229" s="6">
        <v>0</v>
      </c>
      <c r="BS229" s="6">
        <v>0</v>
      </c>
      <c r="BT229" s="6">
        <v>0</v>
      </c>
    </row>
    <row r="230" spans="1:75" x14ac:dyDescent="0.25">
      <c r="A230" t="s">
        <v>319</v>
      </c>
      <c r="B230" s="3" t="s">
        <v>89</v>
      </c>
      <c r="C230" s="9">
        <v>-33489947</v>
      </c>
      <c r="D230" s="6">
        <v>-70632479</v>
      </c>
      <c r="E230" s="13" t="s">
        <v>367</v>
      </c>
      <c r="F230" s="3">
        <v>-33491532</v>
      </c>
      <c r="G230" s="3">
        <v>-70631151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1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7"/>
      <c r="AQ230" s="7"/>
      <c r="AR230" s="6">
        <v>0</v>
      </c>
      <c r="AS230" s="6">
        <v>0</v>
      </c>
      <c r="AT230" s="6">
        <v>0</v>
      </c>
      <c r="AU230" s="6">
        <v>1</v>
      </c>
      <c r="AV230" s="6">
        <v>0</v>
      </c>
      <c r="AW230" s="6">
        <v>0</v>
      </c>
      <c r="AX230" s="6">
        <v>1</v>
      </c>
      <c r="AY230" s="6">
        <v>0</v>
      </c>
      <c r="AZ230" s="6">
        <v>0</v>
      </c>
      <c r="BA230" s="7"/>
      <c r="BB230" s="7"/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7"/>
      <c r="BI230" s="7"/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7"/>
      <c r="BP230" s="7"/>
      <c r="BQ230" s="6">
        <v>0</v>
      </c>
      <c r="BR230" s="6">
        <v>0</v>
      </c>
      <c r="BS230" s="6">
        <v>0</v>
      </c>
      <c r="BT230" s="6">
        <v>0</v>
      </c>
    </row>
    <row r="231" spans="1:75" x14ac:dyDescent="0.25">
      <c r="A231" t="s">
        <v>319</v>
      </c>
      <c r="B231" s="3" t="s">
        <v>86</v>
      </c>
      <c r="C231" s="3">
        <v>-3353477</v>
      </c>
      <c r="D231" s="3">
        <v>-7061624</v>
      </c>
      <c r="E231" s="3" t="s">
        <v>368</v>
      </c>
      <c r="F231" s="3">
        <v>-33537588</v>
      </c>
      <c r="G231" s="3">
        <v>-70616517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7"/>
      <c r="AQ231" s="7"/>
      <c r="AR231" s="6"/>
      <c r="AS231" s="6"/>
      <c r="AT231" s="6"/>
      <c r="AU231" s="6"/>
      <c r="AV231" s="6"/>
      <c r="AW231" s="6"/>
      <c r="AX231" s="6"/>
      <c r="AY231" s="6"/>
      <c r="AZ231" s="6"/>
      <c r="BA231" s="7"/>
      <c r="BB231" s="7"/>
      <c r="BC231" s="6"/>
      <c r="BD231" s="6"/>
      <c r="BE231" s="6"/>
      <c r="BF231" s="6"/>
      <c r="BG231" s="6"/>
      <c r="BH231" s="7"/>
      <c r="BI231" s="7"/>
      <c r="BJ231" s="6"/>
      <c r="BK231" s="6"/>
      <c r="BL231" s="6"/>
      <c r="BM231" s="6"/>
      <c r="BN231" s="6"/>
      <c r="BO231" s="7"/>
      <c r="BP231" s="7"/>
      <c r="BQ231" s="6"/>
      <c r="BR231" s="6"/>
      <c r="BS231" s="6"/>
      <c r="BT231" s="6"/>
    </row>
    <row r="232" spans="1:75" x14ac:dyDescent="0.25">
      <c r="A232" t="s">
        <v>319</v>
      </c>
      <c r="B232" s="3" t="s">
        <v>86</v>
      </c>
      <c r="C232" s="3">
        <v>-3353477</v>
      </c>
      <c r="D232" s="3">
        <v>-7061624</v>
      </c>
      <c r="E232" s="3" t="s">
        <v>369</v>
      </c>
      <c r="F232" s="3">
        <v>-33538188</v>
      </c>
      <c r="G232" s="3">
        <v>-70616456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7"/>
      <c r="AQ232" s="7"/>
      <c r="AR232" s="6"/>
      <c r="AS232" s="6"/>
      <c r="AT232" s="6"/>
      <c r="AU232" s="6"/>
      <c r="AV232" s="6"/>
      <c r="AW232" s="6"/>
      <c r="AX232" s="6"/>
      <c r="AY232" s="6"/>
      <c r="AZ232" s="6"/>
      <c r="BA232" s="7"/>
      <c r="BB232" s="7"/>
      <c r="BC232" s="6"/>
      <c r="BD232" s="6"/>
      <c r="BE232" s="6"/>
      <c r="BF232" s="6"/>
      <c r="BG232" s="6"/>
      <c r="BH232" s="7"/>
      <c r="BI232" s="7"/>
      <c r="BJ232" s="6"/>
      <c r="BK232" s="6"/>
      <c r="BL232" s="6"/>
      <c r="BM232" s="6"/>
      <c r="BN232" s="6"/>
      <c r="BO232" s="7"/>
      <c r="BP232" s="7"/>
      <c r="BQ232" s="6"/>
      <c r="BR232" s="6"/>
      <c r="BS232" s="6"/>
      <c r="BT232" s="6"/>
    </row>
    <row r="233" spans="1:75" x14ac:dyDescent="0.25">
      <c r="A233" t="s">
        <v>319</v>
      </c>
      <c r="B233" s="3" t="s">
        <v>86</v>
      </c>
      <c r="C233" s="3">
        <v>-3353477</v>
      </c>
      <c r="D233" s="3">
        <v>-7061624</v>
      </c>
      <c r="E233" s="3" t="s">
        <v>370</v>
      </c>
      <c r="F233" s="3">
        <v>-33537613</v>
      </c>
      <c r="G233" s="3">
        <v>-70618698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1</v>
      </c>
      <c r="O233" s="6">
        <v>0</v>
      </c>
      <c r="P233" s="6">
        <v>1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7"/>
      <c r="AQ233" s="7"/>
      <c r="AR233" s="6">
        <v>0</v>
      </c>
      <c r="AS233" s="6">
        <v>0</v>
      </c>
      <c r="AT233" s="6">
        <v>1</v>
      </c>
      <c r="AU233" s="6">
        <v>0</v>
      </c>
      <c r="AV233" s="6">
        <v>1</v>
      </c>
      <c r="AW233" s="6">
        <v>1</v>
      </c>
      <c r="AX233" s="6">
        <v>1</v>
      </c>
      <c r="AY233" s="6">
        <v>1</v>
      </c>
      <c r="AZ233" s="6">
        <v>0</v>
      </c>
      <c r="BA233" s="7"/>
      <c r="BB233" s="7"/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7"/>
      <c r="BI233" s="7"/>
      <c r="BJ233" s="6">
        <v>0</v>
      </c>
      <c r="BK233" s="6">
        <v>0</v>
      </c>
      <c r="BL233" s="6">
        <v>0</v>
      </c>
      <c r="BM233" s="6">
        <v>0</v>
      </c>
      <c r="BN233" s="6">
        <v>1</v>
      </c>
      <c r="BO233" s="7"/>
      <c r="BP233" s="7"/>
      <c r="BQ233" s="6">
        <v>0</v>
      </c>
      <c r="BR233" s="6">
        <v>1</v>
      </c>
      <c r="BS233" s="6">
        <v>1</v>
      </c>
      <c r="BT233" s="6">
        <v>0</v>
      </c>
    </row>
    <row r="234" spans="1:75" x14ac:dyDescent="0.25">
      <c r="A234" t="s">
        <v>319</v>
      </c>
      <c r="B234" s="3" t="s">
        <v>86</v>
      </c>
      <c r="C234" s="3">
        <v>-3353477</v>
      </c>
      <c r="D234" s="3">
        <v>-7061624</v>
      </c>
      <c r="E234" s="3" t="s">
        <v>371</v>
      </c>
      <c r="F234" s="3">
        <v>-33533793</v>
      </c>
      <c r="G234" s="3">
        <v>-70616494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7"/>
      <c r="AQ234" s="7"/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1</v>
      </c>
      <c r="AX234" s="6">
        <v>0</v>
      </c>
      <c r="AY234" s="6">
        <v>0</v>
      </c>
      <c r="AZ234" s="6">
        <v>1</v>
      </c>
      <c r="BA234" s="7"/>
      <c r="BB234" s="7"/>
      <c r="BC234" s="6">
        <v>1</v>
      </c>
      <c r="BD234" s="6">
        <v>0</v>
      </c>
      <c r="BE234" s="6">
        <v>0</v>
      </c>
      <c r="BF234" s="6">
        <v>0</v>
      </c>
      <c r="BG234" s="6">
        <v>0</v>
      </c>
      <c r="BH234" s="7"/>
      <c r="BI234" s="7"/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7"/>
      <c r="BP234" s="7"/>
      <c r="BQ234" s="6">
        <v>0</v>
      </c>
      <c r="BR234" s="6">
        <v>0</v>
      </c>
      <c r="BS234" s="6">
        <v>0</v>
      </c>
      <c r="BT234" s="6">
        <v>0</v>
      </c>
    </row>
    <row r="235" spans="1:75" x14ac:dyDescent="0.25">
      <c r="A235" t="s">
        <v>319</v>
      </c>
      <c r="B235" s="3" t="s">
        <v>86</v>
      </c>
      <c r="C235" s="3">
        <v>-3353477</v>
      </c>
      <c r="D235" s="3">
        <v>-7061624</v>
      </c>
      <c r="E235" s="3" t="s">
        <v>372</v>
      </c>
      <c r="F235" s="3">
        <v>-33531669</v>
      </c>
      <c r="G235" s="3">
        <v>-70616307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7"/>
      <c r="AQ235" s="7"/>
      <c r="AR235" s="6"/>
      <c r="AS235" s="6"/>
      <c r="AT235" s="6"/>
      <c r="AU235" s="6"/>
      <c r="AV235" s="6"/>
      <c r="AW235" s="6"/>
      <c r="AX235" s="6"/>
      <c r="AY235" s="6"/>
      <c r="AZ235" s="6"/>
      <c r="BA235" s="7"/>
      <c r="BB235" s="7"/>
      <c r="BC235" s="6"/>
      <c r="BD235" s="6"/>
      <c r="BE235" s="6"/>
      <c r="BF235" s="6"/>
      <c r="BG235" s="6"/>
      <c r="BH235" s="7"/>
      <c r="BI235" s="7"/>
      <c r="BJ235" s="6"/>
      <c r="BK235" s="6"/>
      <c r="BL235" s="6"/>
      <c r="BM235" s="6"/>
      <c r="BN235" s="6"/>
      <c r="BO235" s="7"/>
      <c r="BP235" s="7"/>
      <c r="BQ235" s="6"/>
      <c r="BR235" s="6"/>
      <c r="BS235" s="6"/>
      <c r="BT235" s="6"/>
    </row>
    <row r="236" spans="1:75" x14ac:dyDescent="0.25">
      <c r="A236" t="s">
        <v>319</v>
      </c>
      <c r="B236" s="3" t="s">
        <v>86</v>
      </c>
      <c r="C236" s="3">
        <v>-3353477</v>
      </c>
      <c r="D236" s="3">
        <v>-7061624</v>
      </c>
      <c r="E236" s="3" t="s">
        <v>373</v>
      </c>
      <c r="F236" s="3">
        <v>-33533067</v>
      </c>
      <c r="G236" s="3">
        <v>-70614712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1</v>
      </c>
      <c r="Y236" s="6">
        <v>0</v>
      </c>
      <c r="Z236" s="6">
        <v>0</v>
      </c>
      <c r="AA236" s="6">
        <v>0</v>
      </c>
      <c r="AB236" s="6">
        <v>0</v>
      </c>
      <c r="AC236" s="6">
        <v>1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7"/>
      <c r="AQ236" s="7"/>
      <c r="AR236" s="6">
        <v>0</v>
      </c>
      <c r="AS236" s="6">
        <v>0</v>
      </c>
      <c r="AT236" s="6">
        <v>1</v>
      </c>
      <c r="AU236" s="6">
        <v>0</v>
      </c>
      <c r="AV236" s="6">
        <v>1</v>
      </c>
      <c r="AW236" s="6">
        <v>1</v>
      </c>
      <c r="AX236" s="6">
        <v>1</v>
      </c>
      <c r="AY236" s="6">
        <v>1</v>
      </c>
      <c r="AZ236" s="6">
        <v>1</v>
      </c>
      <c r="BA236" s="7"/>
      <c r="BB236" s="7"/>
      <c r="BC236" s="6">
        <v>1</v>
      </c>
      <c r="BD236" s="6">
        <v>0</v>
      </c>
      <c r="BE236" s="6">
        <v>1</v>
      </c>
      <c r="BF236" s="6">
        <v>0</v>
      </c>
      <c r="BG236" s="6">
        <v>0</v>
      </c>
      <c r="BH236" s="7"/>
      <c r="BI236" s="7"/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7"/>
      <c r="BP236" s="7"/>
      <c r="BQ236" s="6">
        <v>0</v>
      </c>
      <c r="BR236" s="6">
        <v>1</v>
      </c>
      <c r="BS236" s="6">
        <v>1</v>
      </c>
      <c r="BT236" s="6">
        <v>0</v>
      </c>
    </row>
    <row r="237" spans="1:75" x14ac:dyDescent="0.25">
      <c r="A237" t="s">
        <v>374</v>
      </c>
      <c r="B237" s="3" t="s">
        <v>84</v>
      </c>
      <c r="C237" s="5">
        <v>-3352762</v>
      </c>
      <c r="D237" s="5">
        <v>-7062166</v>
      </c>
      <c r="E237" s="6" t="s">
        <v>375</v>
      </c>
      <c r="F237" s="10">
        <v>-33529737</v>
      </c>
      <c r="G237" s="10">
        <v>-70622364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1</v>
      </c>
      <c r="AC237" s="6">
        <v>0</v>
      </c>
      <c r="AD237" s="6">
        <v>1</v>
      </c>
      <c r="AE237" s="6">
        <v>1</v>
      </c>
      <c r="AF237" s="6">
        <v>1</v>
      </c>
      <c r="AG237" s="12">
        <v>0</v>
      </c>
      <c r="AH237" s="12">
        <v>0</v>
      </c>
      <c r="AI237" s="12">
        <v>0</v>
      </c>
      <c r="AJ237" s="3">
        <v>0</v>
      </c>
      <c r="AK237" s="3">
        <v>1</v>
      </c>
      <c r="AL237" s="3">
        <v>0</v>
      </c>
      <c r="AM237" s="3">
        <v>0</v>
      </c>
      <c r="AN237" s="3">
        <v>0</v>
      </c>
      <c r="AO237" s="3">
        <v>1</v>
      </c>
      <c r="AP237" s="4"/>
      <c r="AQ237" s="4"/>
      <c r="AR237" s="3">
        <v>1</v>
      </c>
      <c r="AS237" s="3">
        <v>1</v>
      </c>
      <c r="AT237" s="3">
        <v>1</v>
      </c>
      <c r="AU237" s="3">
        <v>1</v>
      </c>
      <c r="AV237" s="3">
        <v>1</v>
      </c>
      <c r="AW237" s="3">
        <v>0</v>
      </c>
      <c r="AX237" s="3">
        <v>0</v>
      </c>
      <c r="AY237" s="3">
        <v>1</v>
      </c>
      <c r="AZ237" s="3">
        <v>1</v>
      </c>
      <c r="BA237" s="3">
        <v>1</v>
      </c>
      <c r="BB237" s="3">
        <v>1</v>
      </c>
      <c r="BC237" s="3">
        <v>1</v>
      </c>
      <c r="BD237" s="3">
        <v>0</v>
      </c>
      <c r="BE237" s="4"/>
      <c r="BF237" s="4"/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1</v>
      </c>
      <c r="BO237" s="4"/>
      <c r="BP237" s="4"/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</row>
    <row r="238" spans="1:75" x14ac:dyDescent="0.25">
      <c r="A238" t="s">
        <v>374</v>
      </c>
      <c r="B238" s="3" t="s">
        <v>84</v>
      </c>
      <c r="C238" s="5">
        <v>-3352762</v>
      </c>
      <c r="D238" s="5">
        <v>-7062166</v>
      </c>
      <c r="E238" s="6" t="s">
        <v>376</v>
      </c>
      <c r="F238" s="5">
        <v>-3352980</v>
      </c>
      <c r="G238" s="5">
        <v>-7062310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1</v>
      </c>
      <c r="AP238" s="4"/>
      <c r="AQ238" s="4"/>
      <c r="AR238" s="6">
        <v>1</v>
      </c>
      <c r="AS238" s="6">
        <v>1</v>
      </c>
      <c r="AT238" s="6">
        <v>0</v>
      </c>
      <c r="AU238" s="6">
        <v>1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1</v>
      </c>
      <c r="BC238" s="6">
        <v>0</v>
      </c>
      <c r="BD238" s="6">
        <v>0</v>
      </c>
      <c r="BE238" s="4"/>
      <c r="BF238" s="4"/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4"/>
      <c r="BP238" s="4"/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</row>
    <row r="239" spans="1:75" x14ac:dyDescent="0.25">
      <c r="A239" t="s">
        <v>374</v>
      </c>
      <c r="B239" s="3" t="s">
        <v>84</v>
      </c>
      <c r="C239" s="5">
        <v>-3352762</v>
      </c>
      <c r="D239" s="5">
        <v>-7062166</v>
      </c>
      <c r="E239" s="6" t="s">
        <v>377</v>
      </c>
      <c r="F239" s="10">
        <v>-33529551</v>
      </c>
      <c r="G239" s="10">
        <v>-70623096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1</v>
      </c>
      <c r="AP239" s="4"/>
      <c r="AQ239" s="4"/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1</v>
      </c>
      <c r="BA239" s="6">
        <v>0</v>
      </c>
      <c r="BB239" s="6">
        <v>0</v>
      </c>
      <c r="BC239" s="6">
        <v>0</v>
      </c>
      <c r="BD239" s="6">
        <v>0</v>
      </c>
      <c r="BE239" s="4"/>
      <c r="BF239" s="4"/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4"/>
      <c r="BP239" s="4"/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</row>
    <row r="240" spans="1:75" x14ac:dyDescent="0.25">
      <c r="A240" t="s">
        <v>374</v>
      </c>
      <c r="B240" s="3" t="s">
        <v>84</v>
      </c>
      <c r="C240" s="5">
        <v>-3352762</v>
      </c>
      <c r="D240" s="5">
        <v>-7062166</v>
      </c>
      <c r="E240" s="3" t="s">
        <v>378</v>
      </c>
      <c r="F240" s="5">
        <v>-33527221</v>
      </c>
      <c r="G240" s="5">
        <v>-70621692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1</v>
      </c>
      <c r="AF240" s="3">
        <v>1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4"/>
      <c r="AQ240" s="4"/>
      <c r="AR240" s="3">
        <v>1</v>
      </c>
      <c r="AS240" s="3">
        <v>1</v>
      </c>
      <c r="AT240" s="3">
        <v>0</v>
      </c>
      <c r="AU240" s="3">
        <v>1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1</v>
      </c>
      <c r="BC240" s="3">
        <v>1</v>
      </c>
      <c r="BD240" s="3">
        <v>0</v>
      </c>
      <c r="BE240" s="4"/>
      <c r="BF240" s="4"/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4"/>
      <c r="BP240" s="4"/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</row>
    <row r="241" spans="1:75" x14ac:dyDescent="0.25">
      <c r="A241" t="s">
        <v>374</v>
      </c>
      <c r="B241" s="3" t="s">
        <v>84</v>
      </c>
      <c r="C241" s="5">
        <v>-3352762</v>
      </c>
      <c r="D241" s="5">
        <v>-7062166</v>
      </c>
      <c r="E241" s="3" t="s">
        <v>379</v>
      </c>
      <c r="F241" s="5">
        <v>-33527095</v>
      </c>
      <c r="G241" s="5">
        <v>-70619701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4"/>
      <c r="AQ241" s="4"/>
      <c r="AR241" s="3">
        <v>0</v>
      </c>
      <c r="AS241" s="3">
        <v>0</v>
      </c>
      <c r="AT241" s="3">
        <v>0</v>
      </c>
      <c r="AU241" s="3">
        <v>0</v>
      </c>
      <c r="AV241" s="3">
        <v>1</v>
      </c>
      <c r="AW241" s="3">
        <v>0</v>
      </c>
      <c r="AX241" s="3">
        <v>0</v>
      </c>
      <c r="AY241" s="3">
        <v>0</v>
      </c>
      <c r="AZ241" s="3">
        <v>1</v>
      </c>
      <c r="BA241" s="3">
        <v>0</v>
      </c>
      <c r="BB241" s="3">
        <v>0</v>
      </c>
      <c r="BC241" s="3">
        <v>0</v>
      </c>
      <c r="BD241" s="3">
        <v>0</v>
      </c>
      <c r="BE241" s="4"/>
      <c r="BF241" s="4"/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4"/>
      <c r="BP241" s="4"/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</row>
    <row r="242" spans="1:75" x14ac:dyDescent="0.25">
      <c r="A242" t="s">
        <v>374</v>
      </c>
      <c r="B242" s="3" t="s">
        <v>85</v>
      </c>
      <c r="C242" s="5">
        <v>-3352980</v>
      </c>
      <c r="D242" s="5">
        <v>-7062310</v>
      </c>
      <c r="E242" s="6" t="s">
        <v>380</v>
      </c>
      <c r="F242" s="10">
        <v>-33529737</v>
      </c>
      <c r="G242" s="10">
        <v>-70622364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1</v>
      </c>
      <c r="AC242" s="6">
        <v>0</v>
      </c>
      <c r="AD242" s="6">
        <v>1</v>
      </c>
      <c r="AE242" s="6">
        <v>1</v>
      </c>
      <c r="AF242" s="6">
        <v>1</v>
      </c>
      <c r="AG242" s="12">
        <v>0</v>
      </c>
      <c r="AH242" s="12">
        <v>0</v>
      </c>
      <c r="AI242" s="12">
        <v>0</v>
      </c>
      <c r="AJ242" s="3">
        <v>0</v>
      </c>
      <c r="AK242" s="3">
        <v>1</v>
      </c>
      <c r="AL242" s="3">
        <v>0</v>
      </c>
      <c r="AM242" s="3">
        <v>0</v>
      </c>
      <c r="AN242" s="3">
        <v>0</v>
      </c>
      <c r="AO242" s="3">
        <v>1</v>
      </c>
      <c r="AP242" s="4"/>
      <c r="AQ242" s="4"/>
      <c r="AR242" s="3">
        <v>1</v>
      </c>
      <c r="AS242" s="3">
        <v>1</v>
      </c>
      <c r="AT242" s="3">
        <v>1</v>
      </c>
      <c r="AU242" s="3">
        <v>1</v>
      </c>
      <c r="AV242" s="3">
        <v>1</v>
      </c>
      <c r="AW242" s="3">
        <v>0</v>
      </c>
      <c r="AX242" s="3">
        <v>0</v>
      </c>
      <c r="AY242" s="3">
        <v>1</v>
      </c>
      <c r="AZ242" s="3">
        <v>1</v>
      </c>
      <c r="BA242" s="3">
        <v>1</v>
      </c>
      <c r="BB242" s="3">
        <v>1</v>
      </c>
      <c r="BC242" s="3">
        <v>1</v>
      </c>
      <c r="BD242" s="3">
        <v>0</v>
      </c>
      <c r="BE242" s="4"/>
      <c r="BF242" s="4"/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1</v>
      </c>
      <c r="BO242" s="4"/>
      <c r="BP242" s="4"/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</row>
    <row r="243" spans="1:75" x14ac:dyDescent="0.25">
      <c r="A243" t="s">
        <v>374</v>
      </c>
      <c r="B243" s="3" t="s">
        <v>85</v>
      </c>
      <c r="C243" s="5">
        <v>-3352980</v>
      </c>
      <c r="D243" s="5">
        <v>-7062310</v>
      </c>
      <c r="E243" s="6" t="s">
        <v>381</v>
      </c>
      <c r="F243" s="5">
        <v>-3352980</v>
      </c>
      <c r="G243" s="5">
        <v>-7062310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1</v>
      </c>
      <c r="AP243" s="4"/>
      <c r="AQ243" s="4"/>
      <c r="AR243" s="6">
        <v>1</v>
      </c>
      <c r="AS243" s="6">
        <v>1</v>
      </c>
      <c r="AT243" s="6">
        <v>0</v>
      </c>
      <c r="AU243" s="6">
        <v>1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1</v>
      </c>
      <c r="BC243" s="6">
        <v>0</v>
      </c>
      <c r="BD243" s="6">
        <v>0</v>
      </c>
      <c r="BE243" s="4"/>
      <c r="BF243" s="4"/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4"/>
      <c r="BP243" s="4"/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</row>
    <row r="244" spans="1:75" x14ac:dyDescent="0.25">
      <c r="A244" t="s">
        <v>374</v>
      </c>
      <c r="B244" s="3" t="s">
        <v>85</v>
      </c>
      <c r="C244" s="5">
        <v>-3352980</v>
      </c>
      <c r="D244" s="5">
        <v>-7062310</v>
      </c>
      <c r="E244" s="6" t="s">
        <v>382</v>
      </c>
      <c r="F244" s="10">
        <v>-33529551</v>
      </c>
      <c r="G244" s="10">
        <v>-70623096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1</v>
      </c>
      <c r="AP244" s="4"/>
      <c r="AQ244" s="4"/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1</v>
      </c>
      <c r="BA244" s="6">
        <v>0</v>
      </c>
      <c r="BB244" s="6">
        <v>0</v>
      </c>
      <c r="BC244" s="6">
        <v>0</v>
      </c>
      <c r="BD244" s="6">
        <v>0</v>
      </c>
      <c r="BE244" s="4"/>
      <c r="BF244" s="4"/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4"/>
      <c r="BP244" s="4"/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</row>
    <row r="245" spans="1:75" x14ac:dyDescent="0.25">
      <c r="A245" t="s">
        <v>374</v>
      </c>
      <c r="B245" s="3" t="s">
        <v>85</v>
      </c>
      <c r="C245" s="5">
        <v>-3352980</v>
      </c>
      <c r="D245" s="5">
        <v>-7062310</v>
      </c>
      <c r="E245" s="3" t="s">
        <v>383</v>
      </c>
      <c r="F245" s="5">
        <v>-3353288</v>
      </c>
      <c r="G245" s="5">
        <v>-7062246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J245" s="3">
        <v>0</v>
      </c>
      <c r="AK245" s="3">
        <v>1</v>
      </c>
      <c r="AL245" s="3">
        <v>1</v>
      </c>
      <c r="AM245" s="3">
        <v>0</v>
      </c>
      <c r="AN245" s="3">
        <v>0</v>
      </c>
      <c r="AO245" s="3">
        <v>1</v>
      </c>
      <c r="AP245" s="4"/>
      <c r="AQ245" s="4"/>
      <c r="AR245" s="3">
        <v>0</v>
      </c>
      <c r="AS245" s="3">
        <v>0</v>
      </c>
      <c r="AT245" s="3">
        <v>0</v>
      </c>
      <c r="AU245" s="3">
        <v>0</v>
      </c>
      <c r="AV245" s="3">
        <v>1</v>
      </c>
      <c r="AW245" s="3">
        <v>0</v>
      </c>
      <c r="AX245" s="3">
        <v>0</v>
      </c>
      <c r="AY245" s="3">
        <v>0</v>
      </c>
      <c r="AZ245" s="3">
        <v>1</v>
      </c>
      <c r="BA245" s="3">
        <v>1</v>
      </c>
      <c r="BB245" s="3">
        <v>1</v>
      </c>
      <c r="BC245" s="3">
        <v>1</v>
      </c>
      <c r="BD245" s="3">
        <v>0</v>
      </c>
      <c r="BE245" s="4"/>
      <c r="BF245" s="4"/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4"/>
      <c r="BP245" s="4"/>
      <c r="BQ245" s="3">
        <v>0</v>
      </c>
      <c r="BR245" s="3">
        <v>0</v>
      </c>
      <c r="BS245" s="3">
        <v>0</v>
      </c>
      <c r="BT245" s="3">
        <v>0</v>
      </c>
      <c r="BU245" s="3">
        <v>1</v>
      </c>
      <c r="BV245" s="3">
        <v>0</v>
      </c>
      <c r="BW245" s="3">
        <v>0</v>
      </c>
    </row>
    <row r="246" spans="1:75" x14ac:dyDescent="0.25">
      <c r="A246" t="s">
        <v>374</v>
      </c>
      <c r="B246" s="3" t="s">
        <v>85</v>
      </c>
      <c r="C246" s="5">
        <v>-3352980</v>
      </c>
      <c r="D246" s="5">
        <v>-7062310</v>
      </c>
      <c r="E246" s="3" t="s">
        <v>384</v>
      </c>
      <c r="F246" s="5">
        <v>-33527500</v>
      </c>
      <c r="G246" s="5">
        <v>-70624954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1</v>
      </c>
      <c r="AC246" s="3">
        <v>0</v>
      </c>
      <c r="AD246" s="3">
        <v>0</v>
      </c>
      <c r="AE246" s="3">
        <v>1</v>
      </c>
      <c r="AF246" s="3">
        <v>1</v>
      </c>
      <c r="AG246" s="3">
        <v>0</v>
      </c>
      <c r="AH246" s="3">
        <v>0</v>
      </c>
      <c r="AI246" s="3">
        <v>1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1</v>
      </c>
      <c r="AP246" s="4"/>
      <c r="AQ246" s="4"/>
      <c r="AR246" s="3">
        <v>1</v>
      </c>
      <c r="AS246" s="3">
        <v>1</v>
      </c>
      <c r="AT246" s="3">
        <v>0</v>
      </c>
      <c r="AU246" s="3">
        <v>1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1</v>
      </c>
      <c r="BC246" s="3">
        <v>0</v>
      </c>
      <c r="BD246" s="3">
        <v>0</v>
      </c>
      <c r="BE246" s="4"/>
      <c r="BF246" s="4"/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4"/>
      <c r="BP246" s="4"/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</row>
    <row r="247" spans="1:75" x14ac:dyDescent="0.25">
      <c r="A247" t="s">
        <v>374</v>
      </c>
      <c r="B247" s="3" t="s">
        <v>85</v>
      </c>
      <c r="C247" s="5">
        <v>-3352980</v>
      </c>
      <c r="D247" s="5">
        <v>-7062310</v>
      </c>
      <c r="E247" s="3" t="s">
        <v>385</v>
      </c>
      <c r="F247" s="5">
        <v>-33527221</v>
      </c>
      <c r="G247" s="5">
        <v>-70621692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1</v>
      </c>
      <c r="AF247" s="3">
        <v>1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4"/>
      <c r="AQ247" s="4"/>
      <c r="AR247" s="3">
        <v>1</v>
      </c>
      <c r="AS247" s="3">
        <v>1</v>
      </c>
      <c r="AT247" s="3">
        <v>0</v>
      </c>
      <c r="AU247" s="3">
        <v>1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1</v>
      </c>
      <c r="BC247" s="3">
        <v>1</v>
      </c>
      <c r="BD247" s="3">
        <v>0</v>
      </c>
      <c r="BE247" s="4"/>
      <c r="BF247" s="4"/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4"/>
      <c r="BP247" s="4"/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</row>
    <row r="248" spans="1:75" x14ac:dyDescent="0.25">
      <c r="A248" t="s">
        <v>374</v>
      </c>
      <c r="B248" s="3" t="s">
        <v>85</v>
      </c>
      <c r="C248" s="5">
        <v>-3352980</v>
      </c>
      <c r="D248" s="5">
        <v>-7062310</v>
      </c>
      <c r="E248" s="3" t="s">
        <v>386</v>
      </c>
      <c r="F248" s="5">
        <v>-33527095</v>
      </c>
      <c r="G248" s="5">
        <v>-70619701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4"/>
      <c r="AQ248" s="4"/>
      <c r="AR248" s="3">
        <v>0</v>
      </c>
      <c r="AS248" s="3">
        <v>0</v>
      </c>
      <c r="AT248" s="3">
        <v>0</v>
      </c>
      <c r="AU248" s="3">
        <v>0</v>
      </c>
      <c r="AV248" s="3">
        <v>1</v>
      </c>
      <c r="AW248" s="3">
        <v>0</v>
      </c>
      <c r="AX248" s="3">
        <v>0</v>
      </c>
      <c r="AY248" s="3">
        <v>0</v>
      </c>
      <c r="AZ248" s="3">
        <v>1</v>
      </c>
      <c r="BA248" s="3">
        <v>0</v>
      </c>
      <c r="BB248" s="3">
        <v>0</v>
      </c>
      <c r="BC248" s="3">
        <v>0</v>
      </c>
      <c r="BD248" s="3">
        <v>0</v>
      </c>
      <c r="BE248" s="4"/>
      <c r="BF248" s="4"/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4"/>
      <c r="BP248" s="4"/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</row>
    <row r="249" spans="1:75" x14ac:dyDescent="0.25">
      <c r="A249" t="s">
        <v>374</v>
      </c>
      <c r="B249" s="3" t="s">
        <v>87</v>
      </c>
      <c r="C249" s="8">
        <v>-33494037</v>
      </c>
      <c r="D249" s="6">
        <v>-70597500</v>
      </c>
      <c r="E249" s="3" t="s">
        <v>387</v>
      </c>
      <c r="F249" s="5">
        <v>-33494001</v>
      </c>
      <c r="G249" s="5">
        <v>-70597510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1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4"/>
      <c r="AQ249" s="4"/>
      <c r="AR249" s="3">
        <v>1</v>
      </c>
      <c r="AS249" s="3">
        <v>1</v>
      </c>
      <c r="AT249" s="3">
        <v>0</v>
      </c>
      <c r="AU249" s="3">
        <v>1</v>
      </c>
      <c r="AV249" s="3">
        <v>0</v>
      </c>
      <c r="AW249" s="3">
        <v>0</v>
      </c>
      <c r="AX249" s="3">
        <v>0</v>
      </c>
      <c r="AY249" s="3">
        <v>0</v>
      </c>
      <c r="AZ249" s="3">
        <v>1</v>
      </c>
      <c r="BA249" s="3">
        <v>0</v>
      </c>
      <c r="BB249" s="3">
        <v>1</v>
      </c>
      <c r="BC249" s="3">
        <v>0</v>
      </c>
      <c r="BD249" s="3">
        <v>1</v>
      </c>
      <c r="BE249" s="4"/>
      <c r="BF249" s="4"/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4"/>
      <c r="BP249" s="4"/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</row>
    <row r="250" spans="1:75" x14ac:dyDescent="0.25">
      <c r="A250" t="s">
        <v>374</v>
      </c>
      <c r="B250" s="3" t="s">
        <v>87</v>
      </c>
      <c r="C250" s="8">
        <v>-33494037</v>
      </c>
      <c r="D250" s="6">
        <v>-70597500</v>
      </c>
      <c r="E250" s="4" t="s">
        <v>388</v>
      </c>
      <c r="F250" s="5">
        <v>-33491681</v>
      </c>
      <c r="G250" s="5">
        <v>-70599894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4"/>
      <c r="AQ250" s="4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4"/>
      <c r="BF250" s="4"/>
      <c r="BG250" s="3"/>
      <c r="BH250" s="3"/>
      <c r="BI250" s="3"/>
      <c r="BJ250" s="3"/>
      <c r="BK250" s="3"/>
      <c r="BL250" s="3"/>
      <c r="BM250" s="3"/>
      <c r="BN250" s="3"/>
      <c r="BO250" s="4"/>
      <c r="BP250" s="4"/>
      <c r="BQ250" s="3"/>
      <c r="BR250" s="3"/>
      <c r="BS250" s="3"/>
      <c r="BT250" s="3"/>
      <c r="BU250" s="3"/>
      <c r="BV250" s="3"/>
      <c r="BW250" s="3"/>
    </row>
    <row r="251" spans="1:75" x14ac:dyDescent="0.25">
      <c r="A251" t="s">
        <v>374</v>
      </c>
      <c r="B251" s="3" t="s">
        <v>88</v>
      </c>
      <c r="C251" s="5">
        <v>-33505741</v>
      </c>
      <c r="D251" s="6">
        <v>-70624308</v>
      </c>
      <c r="E251" s="3" t="s">
        <v>389</v>
      </c>
      <c r="F251" s="5">
        <v>-33506267</v>
      </c>
      <c r="G251" s="5">
        <v>-70624041</v>
      </c>
      <c r="H251" s="3">
        <v>0</v>
      </c>
      <c r="I251" s="3">
        <v>0</v>
      </c>
      <c r="J251" s="3">
        <v>0</v>
      </c>
      <c r="K251" s="3">
        <v>1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4"/>
      <c r="AQ251" s="4"/>
      <c r="AR251" s="3">
        <v>0</v>
      </c>
      <c r="AS251" s="3">
        <v>1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1</v>
      </c>
      <c r="BE251" s="4"/>
      <c r="BF251" s="4"/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4"/>
      <c r="BP251" s="4"/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</row>
    <row r="252" spans="1:75" x14ac:dyDescent="0.25">
      <c r="A252" t="s">
        <v>374</v>
      </c>
      <c r="B252" s="3" t="s">
        <v>88</v>
      </c>
      <c r="C252" s="5">
        <v>-33505741</v>
      </c>
      <c r="D252" s="6">
        <v>-70624308</v>
      </c>
      <c r="E252" s="3" t="s">
        <v>390</v>
      </c>
      <c r="F252" s="5">
        <v>-33506760</v>
      </c>
      <c r="G252" s="5">
        <v>-70623256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1</v>
      </c>
      <c r="AJ252" s="3">
        <v>0</v>
      </c>
      <c r="AK252" s="3">
        <v>0</v>
      </c>
      <c r="AL252" s="3">
        <v>0</v>
      </c>
      <c r="AM252" s="3"/>
      <c r="AN252" s="3">
        <v>0</v>
      </c>
      <c r="AO252" s="3">
        <v>1</v>
      </c>
      <c r="AP252" s="4"/>
      <c r="AQ252" s="4"/>
      <c r="AR252" s="3">
        <v>0</v>
      </c>
      <c r="AS252" s="3">
        <v>1</v>
      </c>
      <c r="AT252" s="3">
        <v>0</v>
      </c>
      <c r="AU252" s="3">
        <v>0</v>
      </c>
      <c r="AV252" s="3">
        <v>1</v>
      </c>
      <c r="AW252" s="3">
        <v>0</v>
      </c>
      <c r="AX252" s="3">
        <v>0</v>
      </c>
      <c r="AY252" s="3">
        <v>1</v>
      </c>
      <c r="AZ252" s="3">
        <v>1</v>
      </c>
      <c r="BA252" s="3">
        <v>0</v>
      </c>
      <c r="BB252" s="3">
        <v>1</v>
      </c>
      <c r="BC252" s="3">
        <v>0</v>
      </c>
      <c r="BD252" s="3">
        <v>0</v>
      </c>
      <c r="BE252" s="4"/>
      <c r="BF252" s="4"/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4"/>
      <c r="BP252" s="4"/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</row>
    <row r="253" spans="1:75" x14ac:dyDescent="0.25">
      <c r="A253" t="s">
        <v>374</v>
      </c>
      <c r="B253" s="3" t="s">
        <v>88</v>
      </c>
      <c r="C253" s="5">
        <v>-33505741</v>
      </c>
      <c r="D253" s="6">
        <v>-70624308</v>
      </c>
      <c r="E253" s="3" t="s">
        <v>391</v>
      </c>
      <c r="F253" s="5">
        <v>-33504985</v>
      </c>
      <c r="G253" s="5">
        <v>-70627972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1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1</v>
      </c>
      <c r="AP253" s="4"/>
      <c r="AQ253" s="4"/>
      <c r="AR253" s="3">
        <v>0</v>
      </c>
      <c r="AS253" s="3">
        <v>1</v>
      </c>
      <c r="AT253" s="3">
        <v>0</v>
      </c>
      <c r="AU253" s="3">
        <v>1</v>
      </c>
      <c r="AV253" s="3">
        <v>1</v>
      </c>
      <c r="AW253" s="3">
        <v>0</v>
      </c>
      <c r="AX253" s="3">
        <v>0</v>
      </c>
      <c r="AY253" s="3">
        <v>1</v>
      </c>
      <c r="AZ253" s="3">
        <v>1</v>
      </c>
      <c r="BA253" s="3">
        <v>1</v>
      </c>
      <c r="BB253" s="3">
        <v>1</v>
      </c>
      <c r="BC253" s="3">
        <v>0</v>
      </c>
      <c r="BD253" s="3">
        <v>0</v>
      </c>
      <c r="BE253" s="4"/>
      <c r="BF253" s="4"/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4"/>
      <c r="BP253" s="4"/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</row>
    <row r="254" spans="1:75" x14ac:dyDescent="0.25">
      <c r="A254" t="s">
        <v>374</v>
      </c>
      <c r="B254" s="3" t="s">
        <v>88</v>
      </c>
      <c r="C254" s="5">
        <v>-33505741</v>
      </c>
      <c r="D254" s="6">
        <v>-70624308</v>
      </c>
      <c r="E254" s="3" t="s">
        <v>392</v>
      </c>
      <c r="F254" s="5">
        <v>-33507317</v>
      </c>
      <c r="G254" s="5">
        <v>-70625447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4"/>
      <c r="AQ254" s="4"/>
      <c r="AR254" s="3">
        <v>0</v>
      </c>
      <c r="AS254" s="3">
        <v>0</v>
      </c>
      <c r="AT254" s="3">
        <v>0</v>
      </c>
      <c r="AU254" s="3">
        <v>0</v>
      </c>
      <c r="AV254" s="3">
        <v>1</v>
      </c>
      <c r="AW254" s="3">
        <v>0</v>
      </c>
      <c r="AX254" s="3">
        <v>0</v>
      </c>
      <c r="AY254" s="3">
        <v>1</v>
      </c>
      <c r="AZ254" s="3">
        <v>1</v>
      </c>
      <c r="BA254" s="3">
        <v>1</v>
      </c>
      <c r="BB254" s="3">
        <v>0</v>
      </c>
      <c r="BC254" s="3">
        <v>0</v>
      </c>
      <c r="BD254" s="3">
        <v>0</v>
      </c>
      <c r="BE254" s="4"/>
      <c r="BF254" s="4"/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4"/>
      <c r="BP254" s="4"/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</row>
    <row r="255" spans="1:75" x14ac:dyDescent="0.25">
      <c r="A255" t="s">
        <v>374</v>
      </c>
      <c r="B255" s="3" t="s">
        <v>88</v>
      </c>
      <c r="C255" s="5">
        <v>-33505741</v>
      </c>
      <c r="D255" s="6">
        <v>-70624308</v>
      </c>
      <c r="E255" s="3" t="s">
        <v>393</v>
      </c>
      <c r="F255" s="5">
        <v>-33505561</v>
      </c>
      <c r="G255" s="5">
        <v>-70624330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1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4"/>
      <c r="AQ255" s="4"/>
      <c r="AR255" s="3">
        <v>1</v>
      </c>
      <c r="AS255" s="3">
        <v>1</v>
      </c>
      <c r="AT255" s="3">
        <v>0</v>
      </c>
      <c r="AU255" s="3">
        <v>1</v>
      </c>
      <c r="AV255" s="3">
        <v>0</v>
      </c>
      <c r="AW255" s="3">
        <v>0</v>
      </c>
      <c r="AX255" s="3">
        <v>0</v>
      </c>
      <c r="AY255" s="3">
        <v>1</v>
      </c>
      <c r="AZ255" s="3">
        <v>0</v>
      </c>
      <c r="BA255" s="3">
        <v>0</v>
      </c>
      <c r="BB255" s="3">
        <v>1</v>
      </c>
      <c r="BC255" s="3">
        <v>1</v>
      </c>
      <c r="BD255" s="3">
        <v>0</v>
      </c>
      <c r="BE255" s="4"/>
      <c r="BF255" s="4"/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4"/>
      <c r="BP255" s="4"/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</row>
    <row r="256" spans="1:75" x14ac:dyDescent="0.25">
      <c r="A256" t="s">
        <v>374</v>
      </c>
      <c r="B256" s="3" t="s">
        <v>89</v>
      </c>
      <c r="C256" s="9">
        <v>-33489947</v>
      </c>
      <c r="D256" s="6">
        <v>-70632479</v>
      </c>
      <c r="E256" s="3" t="s">
        <v>394</v>
      </c>
      <c r="F256" s="5">
        <v>-33489789</v>
      </c>
      <c r="G256" s="5">
        <v>-70635679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1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1</v>
      </c>
      <c r="AP256" s="4"/>
      <c r="AQ256" s="4"/>
      <c r="AR256" s="3">
        <v>0</v>
      </c>
      <c r="AS256" s="3">
        <v>0</v>
      </c>
      <c r="AT256" s="3">
        <v>0</v>
      </c>
      <c r="AU256" s="3">
        <v>0</v>
      </c>
      <c r="AV256" s="3">
        <v>1</v>
      </c>
      <c r="AW256" s="3">
        <v>0</v>
      </c>
      <c r="AX256" s="3">
        <v>0</v>
      </c>
      <c r="AY256" s="3">
        <v>0</v>
      </c>
      <c r="AZ256" s="3">
        <v>1</v>
      </c>
      <c r="BA256" s="3">
        <v>0</v>
      </c>
      <c r="BB256" s="3">
        <v>0</v>
      </c>
      <c r="BC256" s="3">
        <v>0</v>
      </c>
      <c r="BD256" s="3">
        <v>0</v>
      </c>
      <c r="BE256" s="4"/>
      <c r="BF256" s="4"/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4"/>
      <c r="BP256" s="4"/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</row>
    <row r="257" spans="1:75" x14ac:dyDescent="0.25">
      <c r="A257" t="s">
        <v>374</v>
      </c>
      <c r="B257" s="3" t="s">
        <v>86</v>
      </c>
      <c r="C257" s="3">
        <v>-3353477</v>
      </c>
      <c r="D257" s="3">
        <v>-7061624</v>
      </c>
      <c r="E257" s="3" t="s">
        <v>395</v>
      </c>
      <c r="F257" s="5">
        <v>-33535348</v>
      </c>
      <c r="G257" s="5">
        <v>-70616543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4"/>
      <c r="AQ257" s="4"/>
      <c r="AR257" s="3">
        <v>1</v>
      </c>
      <c r="AS257" s="3">
        <v>1</v>
      </c>
      <c r="AT257" s="3">
        <v>1</v>
      </c>
      <c r="AU257" s="3">
        <v>0</v>
      </c>
      <c r="AV257" s="3">
        <v>1</v>
      </c>
      <c r="AW257" s="3">
        <v>1</v>
      </c>
      <c r="AX257" s="3">
        <v>1</v>
      </c>
      <c r="AY257" s="3">
        <v>0</v>
      </c>
      <c r="AZ257" s="3">
        <v>0</v>
      </c>
      <c r="BA257" s="3">
        <v>1</v>
      </c>
      <c r="BB257" s="3">
        <v>1</v>
      </c>
      <c r="BC257" s="3">
        <v>1</v>
      </c>
      <c r="BD257" s="3">
        <v>1</v>
      </c>
      <c r="BE257" s="4"/>
      <c r="BF257" s="4"/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4"/>
      <c r="BP257" s="4"/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</row>
    <row r="258" spans="1:75" x14ac:dyDescent="0.25">
      <c r="A258" t="s">
        <v>374</v>
      </c>
      <c r="B258" s="3" t="s">
        <v>86</v>
      </c>
      <c r="C258" s="3">
        <v>-3353477</v>
      </c>
      <c r="D258" s="3">
        <v>-7061624</v>
      </c>
      <c r="E258" s="3" t="s">
        <v>396</v>
      </c>
      <c r="F258" s="17">
        <v>-33537714</v>
      </c>
      <c r="G258" s="17">
        <v>-70619090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4"/>
      <c r="AQ258" s="4"/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1</v>
      </c>
      <c r="BA258" s="3">
        <v>0</v>
      </c>
      <c r="BB258" s="3">
        <v>0</v>
      </c>
      <c r="BC258" s="3">
        <v>0</v>
      </c>
      <c r="BD258" s="3">
        <v>0</v>
      </c>
      <c r="BE258" s="4"/>
      <c r="BF258" s="4"/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4"/>
      <c r="BP258" s="4"/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1285-8EC1-4B8A-8B78-64683A1A1739}">
  <dimension ref="A1:CV265"/>
  <sheetViews>
    <sheetView tabSelected="1" topLeftCell="A135" workbookViewId="0">
      <selection activeCell="D2" sqref="D2"/>
    </sheetView>
  </sheetViews>
  <sheetFormatPr baseColWidth="10" defaultRowHeight="15" x14ac:dyDescent="0.25"/>
  <cols>
    <col min="2" max="2" width="19.7109375" bestFit="1" customWidth="1"/>
    <col min="5" max="5" width="100" bestFit="1" customWidth="1"/>
    <col min="6" max="6" width="10.7109375" bestFit="1" customWidth="1"/>
    <col min="7" max="7" width="17.28515625" bestFit="1" customWidth="1"/>
  </cols>
  <sheetData>
    <row r="1" spans="1:100" x14ac:dyDescent="0.25">
      <c r="A1" s="18" t="s">
        <v>397</v>
      </c>
      <c r="B1" s="2" t="s">
        <v>398</v>
      </c>
      <c r="C1" s="64" t="s">
        <v>2</v>
      </c>
      <c r="D1" s="2" t="s">
        <v>3</v>
      </c>
      <c r="E1" s="2" t="s">
        <v>399</v>
      </c>
      <c r="F1" s="3" t="s">
        <v>2</v>
      </c>
      <c r="G1" s="3" t="s">
        <v>3</v>
      </c>
      <c r="H1" s="3" t="s">
        <v>400</v>
      </c>
      <c r="I1" s="19" t="s">
        <v>401</v>
      </c>
      <c r="J1" s="19" t="s">
        <v>402</v>
      </c>
      <c r="K1" s="19" t="s">
        <v>403</v>
      </c>
      <c r="L1" s="19" t="s">
        <v>404</v>
      </c>
      <c r="M1" s="19" t="s">
        <v>405</v>
      </c>
      <c r="N1" s="19" t="s">
        <v>406</v>
      </c>
      <c r="O1" s="19" t="s">
        <v>407</v>
      </c>
      <c r="P1" s="19" t="s">
        <v>408</v>
      </c>
      <c r="Q1" s="19" t="s">
        <v>409</v>
      </c>
      <c r="R1" s="19" t="s">
        <v>410</v>
      </c>
      <c r="S1" s="3" t="s">
        <v>411</v>
      </c>
      <c r="T1" s="3" t="s">
        <v>412</v>
      </c>
      <c r="U1" s="3" t="s">
        <v>413</v>
      </c>
      <c r="V1" s="3" t="s">
        <v>414</v>
      </c>
      <c r="W1" s="3" t="s">
        <v>415</v>
      </c>
      <c r="X1" s="3" t="s">
        <v>416</v>
      </c>
      <c r="Y1" s="3" t="s">
        <v>417</v>
      </c>
      <c r="Z1" s="3" t="s">
        <v>418</v>
      </c>
      <c r="AA1" s="19" t="s">
        <v>419</v>
      </c>
      <c r="AB1" s="19" t="s">
        <v>420</v>
      </c>
      <c r="AC1" s="19" t="s">
        <v>421</v>
      </c>
      <c r="AD1" s="19" t="s">
        <v>422</v>
      </c>
      <c r="AE1" s="19" t="s">
        <v>423</v>
      </c>
      <c r="AF1" s="19" t="s">
        <v>424</v>
      </c>
      <c r="AG1" s="19" t="s">
        <v>425</v>
      </c>
      <c r="AH1" s="19" t="s">
        <v>426</v>
      </c>
      <c r="AI1" s="3" t="s">
        <v>427</v>
      </c>
      <c r="AJ1" s="3" t="s">
        <v>428</v>
      </c>
      <c r="AK1" s="3" t="s">
        <v>429</v>
      </c>
      <c r="AL1" s="3" t="s">
        <v>430</v>
      </c>
      <c r="AM1" s="3" t="s">
        <v>431</v>
      </c>
      <c r="AN1" s="3" t="s">
        <v>432</v>
      </c>
      <c r="AO1" s="3" t="s">
        <v>433</v>
      </c>
      <c r="AP1" s="4" t="s">
        <v>434</v>
      </c>
      <c r="AQ1" s="4" t="s">
        <v>57</v>
      </c>
      <c r="AR1" s="3" t="s">
        <v>435</v>
      </c>
      <c r="AS1" s="3" t="s">
        <v>436</v>
      </c>
      <c r="AT1" s="3" t="s">
        <v>437</v>
      </c>
      <c r="AU1" s="3" t="s">
        <v>438</v>
      </c>
      <c r="AV1" s="3" t="s">
        <v>439</v>
      </c>
      <c r="AW1" s="3" t="s">
        <v>440</v>
      </c>
      <c r="AX1" s="3" t="s">
        <v>441</v>
      </c>
      <c r="AY1" s="3" t="s">
        <v>442</v>
      </c>
      <c r="AZ1" s="3" t="s">
        <v>443</v>
      </c>
      <c r="BA1" s="4" t="s">
        <v>56</v>
      </c>
      <c r="BB1" s="4" t="s">
        <v>57</v>
      </c>
      <c r="BC1" s="3" t="s">
        <v>444</v>
      </c>
      <c r="BD1" s="3" t="s">
        <v>445</v>
      </c>
      <c r="BE1" s="3" t="s">
        <v>446</v>
      </c>
      <c r="BF1" s="3" t="s">
        <v>447</v>
      </c>
      <c r="BG1" s="3" t="s">
        <v>448</v>
      </c>
      <c r="BH1" s="4" t="s">
        <v>56</v>
      </c>
      <c r="BI1" s="4" t="s">
        <v>57</v>
      </c>
      <c r="BJ1" s="3" t="s">
        <v>449</v>
      </c>
      <c r="BK1" s="3" t="s">
        <v>450</v>
      </c>
      <c r="BL1" s="3" t="s">
        <v>451</v>
      </c>
      <c r="BM1" s="3" t="s">
        <v>452</v>
      </c>
      <c r="BN1" s="3" t="s">
        <v>453</v>
      </c>
      <c r="BO1" s="4" t="s">
        <v>56</v>
      </c>
      <c r="BP1" s="4" t="s">
        <v>57</v>
      </c>
      <c r="BQ1" s="3" t="s">
        <v>454</v>
      </c>
      <c r="BR1" s="3" t="s">
        <v>455</v>
      </c>
      <c r="BS1" s="20" t="s">
        <v>456</v>
      </c>
      <c r="BT1" s="3" t="s">
        <v>457</v>
      </c>
      <c r="BU1" s="4" t="s">
        <v>56</v>
      </c>
      <c r="BV1" s="4" t="s">
        <v>57</v>
      </c>
      <c r="BW1" s="4" t="s">
        <v>77</v>
      </c>
      <c r="BX1" s="3" t="s">
        <v>78</v>
      </c>
      <c r="BY1" s="4" t="s">
        <v>79</v>
      </c>
      <c r="BZ1" s="4" t="s">
        <v>80</v>
      </c>
      <c r="CA1" s="4" t="s">
        <v>81</v>
      </c>
      <c r="CB1" s="4" t="s">
        <v>82</v>
      </c>
      <c r="CC1" s="4" t="s">
        <v>458</v>
      </c>
      <c r="CD1" s="4" t="s">
        <v>57</v>
      </c>
    </row>
    <row r="2" spans="1:100" ht="14.25" customHeight="1" x14ac:dyDescent="0.25">
      <c r="A2" s="18" t="s">
        <v>459</v>
      </c>
      <c r="B2" s="21" t="s">
        <v>86</v>
      </c>
      <c r="C2" s="22">
        <v>-33536443</v>
      </c>
      <c r="D2" s="22" t="str">
        <f>B154</f>
        <v>malaquias Concha</v>
      </c>
      <c r="E2" s="21" t="s">
        <v>460</v>
      </c>
      <c r="F2" s="22">
        <v>-33536443</v>
      </c>
      <c r="G2" s="22">
        <v>-70616543</v>
      </c>
      <c r="H2" s="2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3">
        <f>SUM(H2:AO2)</f>
        <v>0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>
        <f>SUM(AR2:AZ2)</f>
        <v>0</v>
      </c>
      <c r="BB2" s="21"/>
      <c r="BC2" s="21"/>
      <c r="BD2" s="21"/>
      <c r="BE2" s="21"/>
      <c r="BF2" s="21"/>
      <c r="BG2" s="21"/>
      <c r="BH2" s="21">
        <f>SUM(BC2:BG2)</f>
        <v>0</v>
      </c>
      <c r="BI2" s="21"/>
      <c r="BJ2" s="21"/>
      <c r="BK2" s="21"/>
      <c r="BL2" s="21"/>
      <c r="BM2" s="21"/>
      <c r="BN2" s="21"/>
      <c r="BO2" s="21">
        <f>SUM(BJ2:BN2)</f>
        <v>0</v>
      </c>
      <c r="BP2" s="21"/>
      <c r="BQ2" s="21"/>
      <c r="BR2" s="21"/>
      <c r="BS2" s="21"/>
      <c r="BT2" s="21"/>
      <c r="BU2" s="21">
        <f>SUM(BQ2+BR2+BT2)</f>
        <v>0</v>
      </c>
      <c r="BV2" s="21">
        <f>BS2</f>
        <v>0</v>
      </c>
      <c r="BW2" s="23">
        <f>AP2</f>
        <v>0</v>
      </c>
      <c r="BX2" s="21">
        <f>BA2</f>
        <v>0</v>
      </c>
      <c r="BY2" s="23">
        <f>BW2-BX2</f>
        <v>0</v>
      </c>
      <c r="BZ2" s="21">
        <f>BH2</f>
        <v>0</v>
      </c>
      <c r="CA2" s="21">
        <f>BO2</f>
        <v>0</v>
      </c>
      <c r="CB2" s="24">
        <f>BU2-BS2</f>
        <v>0</v>
      </c>
      <c r="CC2" s="25">
        <f>BY2+BZ2+CA2+CB2</f>
        <v>0</v>
      </c>
      <c r="CD2" s="24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</row>
    <row r="3" spans="1:100" ht="11.25" customHeight="1" x14ac:dyDescent="0.25">
      <c r="A3" s="18" t="s">
        <v>459</v>
      </c>
      <c r="B3" s="21" t="s">
        <v>86</v>
      </c>
      <c r="C3" s="22">
        <v>-33537203</v>
      </c>
      <c r="D3" s="22">
        <v>-70616478</v>
      </c>
      <c r="E3" s="21" t="s">
        <v>461</v>
      </c>
      <c r="F3" s="22">
        <v>-33537203</v>
      </c>
      <c r="G3" s="22">
        <v>-70616478</v>
      </c>
      <c r="H3" s="23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3">
        <f t="shared" ref="AP3:AP54" si="0">SUM(H3:AO3)</f>
        <v>0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>
        <f t="shared" ref="BA3:BA54" si="1">SUM(AR3:AZ3)</f>
        <v>0</v>
      </c>
      <c r="BB3" s="21"/>
      <c r="BC3" s="21"/>
      <c r="BD3" s="21"/>
      <c r="BE3" s="21"/>
      <c r="BF3" s="21"/>
      <c r="BG3" s="21"/>
      <c r="BH3" s="21">
        <f t="shared" ref="BH3:BH54" si="2">SUM(BC3:BG3)</f>
        <v>0</v>
      </c>
      <c r="BI3" s="21"/>
      <c r="BJ3" s="21"/>
      <c r="BK3" s="21"/>
      <c r="BL3" s="21"/>
      <c r="BM3" s="21"/>
      <c r="BN3" s="21"/>
      <c r="BO3" s="21">
        <f t="shared" ref="BO3:BO54" si="3">SUM(BJ3:BN3)</f>
        <v>0</v>
      </c>
      <c r="BP3" s="21"/>
      <c r="BQ3" s="21"/>
      <c r="BR3" s="21"/>
      <c r="BS3" s="21"/>
      <c r="BT3" s="21"/>
      <c r="BU3" s="21">
        <f t="shared" ref="BU3:BU54" si="4">SUM(BQ3+BR3+BT3)</f>
        <v>0</v>
      </c>
      <c r="BV3" s="21">
        <f t="shared" ref="BV3:BV54" si="5">BS3</f>
        <v>0</v>
      </c>
      <c r="BW3" s="23">
        <f t="shared" ref="BW3:BW54" si="6">AP3</f>
        <v>0</v>
      </c>
      <c r="BX3" s="21">
        <f t="shared" ref="BX3:BX54" si="7">BA3</f>
        <v>0</v>
      </c>
      <c r="BY3" s="23">
        <f t="shared" ref="BY3:BY54" si="8">BW3-BX3</f>
        <v>0</v>
      </c>
      <c r="BZ3" s="21">
        <f t="shared" ref="BZ3:BZ54" si="9">BH3</f>
        <v>0</v>
      </c>
      <c r="CA3" s="21">
        <f t="shared" ref="CA3:CA54" si="10">BO3</f>
        <v>0</v>
      </c>
      <c r="CB3" s="24">
        <f t="shared" ref="CB3:CB54" si="11">BU3-BS3</f>
        <v>0</v>
      </c>
      <c r="CC3" s="25">
        <f t="shared" ref="CC3:CC54" si="12">BY3+BZ3+CA3+CB3</f>
        <v>0</v>
      </c>
      <c r="CD3" s="24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</row>
    <row r="4" spans="1:100" ht="12" customHeight="1" x14ac:dyDescent="0.25">
      <c r="A4" s="18" t="s">
        <v>459</v>
      </c>
      <c r="B4" s="21" t="s">
        <v>86</v>
      </c>
      <c r="C4" s="22">
        <v>-33538019</v>
      </c>
      <c r="D4" s="22">
        <v>-70616442</v>
      </c>
      <c r="E4" s="21" t="s">
        <v>462</v>
      </c>
      <c r="F4" s="22">
        <v>-33538019</v>
      </c>
      <c r="G4" s="22">
        <v>-70616442</v>
      </c>
      <c r="H4" s="23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3">
        <f t="shared" si="0"/>
        <v>0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>
        <f t="shared" si="1"/>
        <v>0</v>
      </c>
      <c r="BB4" s="21"/>
      <c r="BC4" s="21"/>
      <c r="BD4" s="21"/>
      <c r="BE4" s="21"/>
      <c r="BF4" s="21"/>
      <c r="BG4" s="21"/>
      <c r="BH4" s="21">
        <f t="shared" si="2"/>
        <v>0</v>
      </c>
      <c r="BI4" s="21"/>
      <c r="BJ4" s="21"/>
      <c r="BK4" s="21"/>
      <c r="BL4" s="21"/>
      <c r="BM4" s="21"/>
      <c r="BN4" s="21"/>
      <c r="BO4" s="21">
        <f t="shared" si="3"/>
        <v>0</v>
      </c>
      <c r="BP4" s="21"/>
      <c r="BQ4" s="21"/>
      <c r="BR4" s="21"/>
      <c r="BS4" s="21"/>
      <c r="BT4" s="21"/>
      <c r="BU4" s="21">
        <f t="shared" si="4"/>
        <v>0</v>
      </c>
      <c r="BV4" s="21">
        <f t="shared" si="5"/>
        <v>0</v>
      </c>
      <c r="BW4" s="23">
        <f t="shared" si="6"/>
        <v>0</v>
      </c>
      <c r="BX4" s="21">
        <f t="shared" si="7"/>
        <v>0</v>
      </c>
      <c r="BY4" s="23">
        <f t="shared" si="8"/>
        <v>0</v>
      </c>
      <c r="BZ4" s="21">
        <f t="shared" si="9"/>
        <v>0</v>
      </c>
      <c r="CA4" s="21">
        <f t="shared" si="10"/>
        <v>0</v>
      </c>
      <c r="CB4" s="24">
        <f t="shared" si="11"/>
        <v>0</v>
      </c>
      <c r="CC4" s="25">
        <f t="shared" si="12"/>
        <v>0</v>
      </c>
      <c r="CD4" s="24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</row>
    <row r="5" spans="1:100" ht="12" customHeight="1" x14ac:dyDescent="0.25">
      <c r="A5" s="18" t="s">
        <v>459</v>
      </c>
      <c r="B5" s="21" t="s">
        <v>86</v>
      </c>
      <c r="C5" s="27">
        <v>-3353477</v>
      </c>
      <c r="D5" s="21">
        <v>-7061624</v>
      </c>
      <c r="E5" s="21" t="s">
        <v>463</v>
      </c>
      <c r="F5" s="21">
        <v>-33531411</v>
      </c>
      <c r="G5" s="21">
        <v>-70616598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1</v>
      </c>
      <c r="O5" s="28">
        <v>0</v>
      </c>
      <c r="P5" s="28">
        <v>1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3">
        <f t="shared" si="0"/>
        <v>2</v>
      </c>
      <c r="AQ5" s="29"/>
      <c r="AR5" s="28">
        <v>0</v>
      </c>
      <c r="AS5" s="28">
        <v>0</v>
      </c>
      <c r="AT5" s="28">
        <v>0</v>
      </c>
      <c r="AU5" s="28">
        <v>0</v>
      </c>
      <c r="AV5" s="28">
        <v>1</v>
      </c>
      <c r="AW5" s="28">
        <v>1</v>
      </c>
      <c r="AX5" s="28">
        <v>1</v>
      </c>
      <c r="AY5" s="28">
        <v>1</v>
      </c>
      <c r="AZ5" s="28">
        <v>1</v>
      </c>
      <c r="BA5" s="21">
        <f t="shared" si="1"/>
        <v>5</v>
      </c>
      <c r="BB5" s="29"/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1">
        <f t="shared" si="2"/>
        <v>0</v>
      </c>
      <c r="BI5" s="29"/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1">
        <f t="shared" si="3"/>
        <v>0</v>
      </c>
      <c r="BP5" s="29"/>
      <c r="BQ5" s="28">
        <v>0</v>
      </c>
      <c r="BR5" s="28">
        <v>1</v>
      </c>
      <c r="BS5" s="28">
        <v>1</v>
      </c>
      <c r="BT5" s="28">
        <v>0</v>
      </c>
      <c r="BU5" s="21">
        <f t="shared" si="4"/>
        <v>1</v>
      </c>
      <c r="BV5" s="21">
        <f t="shared" si="5"/>
        <v>1</v>
      </c>
      <c r="BW5" s="23">
        <f t="shared" si="6"/>
        <v>2</v>
      </c>
      <c r="BX5" s="21">
        <f t="shared" si="7"/>
        <v>5</v>
      </c>
      <c r="BY5" s="23">
        <f t="shared" si="8"/>
        <v>-3</v>
      </c>
      <c r="BZ5" s="21">
        <f t="shared" si="9"/>
        <v>0</v>
      </c>
      <c r="CA5" s="21">
        <f t="shared" si="10"/>
        <v>0</v>
      </c>
      <c r="CB5" s="24">
        <f t="shared" si="11"/>
        <v>0</v>
      </c>
      <c r="CC5" s="25">
        <f t="shared" si="12"/>
        <v>-3</v>
      </c>
      <c r="CD5" s="30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</row>
    <row r="6" spans="1:100" ht="11.25" customHeight="1" x14ac:dyDescent="0.25">
      <c r="A6" s="18" t="s">
        <v>459</v>
      </c>
      <c r="B6" s="21" t="s">
        <v>86</v>
      </c>
      <c r="C6" s="27">
        <v>-3353477</v>
      </c>
      <c r="D6" s="21">
        <v>-7061624</v>
      </c>
      <c r="E6" s="21" t="s">
        <v>464</v>
      </c>
      <c r="F6" s="21">
        <v>-33531668</v>
      </c>
      <c r="G6" s="21">
        <v>-70617645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3">
        <f t="shared" si="0"/>
        <v>0</v>
      </c>
      <c r="AQ6" s="29"/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1</v>
      </c>
      <c r="AY6" s="28">
        <v>1</v>
      </c>
      <c r="AZ6" s="28">
        <v>0</v>
      </c>
      <c r="BA6" s="21">
        <f t="shared" si="1"/>
        <v>2</v>
      </c>
      <c r="BB6" s="29"/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1">
        <f t="shared" si="2"/>
        <v>0</v>
      </c>
      <c r="BI6" s="29"/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1">
        <f t="shared" si="3"/>
        <v>0</v>
      </c>
      <c r="BP6" s="29"/>
      <c r="BQ6" s="28">
        <v>0</v>
      </c>
      <c r="BR6" s="28">
        <v>0</v>
      </c>
      <c r="BS6" s="28">
        <v>0</v>
      </c>
      <c r="BT6" s="28">
        <v>0</v>
      </c>
      <c r="BU6" s="21">
        <f t="shared" si="4"/>
        <v>0</v>
      </c>
      <c r="BV6" s="21">
        <f t="shared" si="5"/>
        <v>0</v>
      </c>
      <c r="BW6" s="23">
        <f t="shared" si="6"/>
        <v>0</v>
      </c>
      <c r="BX6" s="21">
        <f t="shared" si="7"/>
        <v>2</v>
      </c>
      <c r="BY6" s="23">
        <f t="shared" si="8"/>
        <v>-2</v>
      </c>
      <c r="BZ6" s="21">
        <f t="shared" si="9"/>
        <v>0</v>
      </c>
      <c r="CA6" s="21">
        <f t="shared" si="10"/>
        <v>0</v>
      </c>
      <c r="CB6" s="24">
        <f t="shared" si="11"/>
        <v>0</v>
      </c>
      <c r="CC6" s="25">
        <f t="shared" si="12"/>
        <v>-2</v>
      </c>
      <c r="CD6" s="30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</row>
    <row r="7" spans="1:100" ht="12" customHeight="1" x14ac:dyDescent="0.25">
      <c r="A7" s="18" t="s">
        <v>459</v>
      </c>
      <c r="B7" s="21" t="s">
        <v>86</v>
      </c>
      <c r="C7" s="27">
        <v>-3353477</v>
      </c>
      <c r="D7" s="21">
        <v>-7061624</v>
      </c>
      <c r="E7" s="21" t="s">
        <v>465</v>
      </c>
      <c r="F7" s="21">
        <v>-33531454</v>
      </c>
      <c r="G7" s="21">
        <v>-70614713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1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3">
        <f t="shared" si="0"/>
        <v>1</v>
      </c>
      <c r="AQ7" s="29"/>
      <c r="AR7" s="28">
        <v>0</v>
      </c>
      <c r="AS7" s="28">
        <v>0</v>
      </c>
      <c r="AT7" s="28">
        <v>1</v>
      </c>
      <c r="AU7" s="28">
        <v>0</v>
      </c>
      <c r="AV7" s="28">
        <v>0</v>
      </c>
      <c r="AW7" s="28">
        <v>1</v>
      </c>
      <c r="AX7" s="28">
        <v>1</v>
      </c>
      <c r="AY7" s="28">
        <v>1</v>
      </c>
      <c r="AZ7" s="28">
        <v>0</v>
      </c>
      <c r="BA7" s="21">
        <f t="shared" si="1"/>
        <v>4</v>
      </c>
      <c r="BB7" s="29"/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1">
        <f t="shared" si="2"/>
        <v>0</v>
      </c>
      <c r="BI7" s="29"/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1">
        <f t="shared" si="3"/>
        <v>0</v>
      </c>
      <c r="BP7" s="29"/>
      <c r="BQ7" s="28">
        <v>0</v>
      </c>
      <c r="BR7" s="28">
        <v>1</v>
      </c>
      <c r="BS7" s="28">
        <v>1</v>
      </c>
      <c r="BT7" s="28">
        <v>0</v>
      </c>
      <c r="BU7" s="21">
        <f t="shared" si="4"/>
        <v>1</v>
      </c>
      <c r="BV7" s="21">
        <f t="shared" si="5"/>
        <v>1</v>
      </c>
      <c r="BW7" s="23">
        <f t="shared" si="6"/>
        <v>1</v>
      </c>
      <c r="BX7" s="21">
        <f t="shared" si="7"/>
        <v>4</v>
      </c>
      <c r="BY7" s="23">
        <f t="shared" si="8"/>
        <v>-3</v>
      </c>
      <c r="BZ7" s="21">
        <f t="shared" si="9"/>
        <v>0</v>
      </c>
      <c r="CA7" s="21">
        <f t="shared" si="10"/>
        <v>0</v>
      </c>
      <c r="CB7" s="24">
        <f t="shared" si="11"/>
        <v>0</v>
      </c>
      <c r="CC7" s="25">
        <f t="shared" si="12"/>
        <v>-3</v>
      </c>
      <c r="CD7" s="30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1:100" ht="11.25" customHeight="1" x14ac:dyDescent="0.25">
      <c r="A8" s="18" t="s">
        <v>459</v>
      </c>
      <c r="B8" s="21" t="s">
        <v>86</v>
      </c>
      <c r="C8" s="27">
        <v>-3353477</v>
      </c>
      <c r="D8" s="21">
        <v>-7061624</v>
      </c>
      <c r="E8" s="21" t="s">
        <v>466</v>
      </c>
      <c r="F8" s="21">
        <v>-33531494</v>
      </c>
      <c r="G8" s="21">
        <v>-70612973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3">
        <f t="shared" si="0"/>
        <v>0</v>
      </c>
      <c r="AQ8" s="29"/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1</v>
      </c>
      <c r="AX8" s="28">
        <v>1</v>
      </c>
      <c r="AY8" s="28">
        <v>1</v>
      </c>
      <c r="AZ8" s="28">
        <v>0</v>
      </c>
      <c r="BA8" s="21">
        <f t="shared" si="1"/>
        <v>3</v>
      </c>
      <c r="BB8" s="29"/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1">
        <f t="shared" si="2"/>
        <v>0</v>
      </c>
      <c r="BI8" s="29"/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1">
        <f t="shared" si="3"/>
        <v>0</v>
      </c>
      <c r="BP8" s="29"/>
      <c r="BQ8" s="28">
        <v>0</v>
      </c>
      <c r="BR8" s="28">
        <v>0</v>
      </c>
      <c r="BS8" s="28">
        <v>0</v>
      </c>
      <c r="BT8" s="28">
        <v>0</v>
      </c>
      <c r="BU8" s="21">
        <f t="shared" si="4"/>
        <v>0</v>
      </c>
      <c r="BV8" s="21">
        <f t="shared" si="5"/>
        <v>0</v>
      </c>
      <c r="BW8" s="23">
        <f t="shared" si="6"/>
        <v>0</v>
      </c>
      <c r="BX8" s="21">
        <f t="shared" si="7"/>
        <v>3</v>
      </c>
      <c r="BY8" s="23">
        <f t="shared" si="8"/>
        <v>-3</v>
      </c>
      <c r="BZ8" s="21">
        <f t="shared" si="9"/>
        <v>0</v>
      </c>
      <c r="CA8" s="21">
        <f t="shared" si="10"/>
        <v>0</v>
      </c>
      <c r="CB8" s="24">
        <f t="shared" si="11"/>
        <v>0</v>
      </c>
      <c r="CC8" s="25">
        <f t="shared" si="12"/>
        <v>-3</v>
      </c>
      <c r="CD8" s="30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1:100" ht="12" customHeight="1" x14ac:dyDescent="0.25">
      <c r="A9" s="18" t="s">
        <v>459</v>
      </c>
      <c r="B9" s="21" t="s">
        <v>86</v>
      </c>
      <c r="C9" s="27">
        <v>-3353477</v>
      </c>
      <c r="D9" s="21">
        <v>-7061624</v>
      </c>
      <c r="E9" s="21" t="s">
        <v>467</v>
      </c>
      <c r="F9" s="21">
        <v>-33533706</v>
      </c>
      <c r="G9" s="21">
        <v>-7061611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3">
        <f t="shared" si="0"/>
        <v>0</v>
      </c>
      <c r="AQ9" s="29"/>
      <c r="AR9" s="28"/>
      <c r="AS9" s="28"/>
      <c r="AT9" s="28"/>
      <c r="AU9" s="28"/>
      <c r="AV9" s="28"/>
      <c r="AW9" s="28"/>
      <c r="AX9" s="28"/>
      <c r="AY9" s="28"/>
      <c r="AZ9" s="28"/>
      <c r="BA9" s="21">
        <f t="shared" si="1"/>
        <v>0</v>
      </c>
      <c r="BB9" s="29"/>
      <c r="BC9" s="28"/>
      <c r="BD9" s="28"/>
      <c r="BE9" s="28"/>
      <c r="BF9" s="28"/>
      <c r="BG9" s="28"/>
      <c r="BH9" s="21">
        <f t="shared" si="2"/>
        <v>0</v>
      </c>
      <c r="BI9" s="29"/>
      <c r="BJ9" s="28"/>
      <c r="BK9" s="28"/>
      <c r="BL9" s="28"/>
      <c r="BM9" s="28"/>
      <c r="BN9" s="28"/>
      <c r="BO9" s="21">
        <f t="shared" si="3"/>
        <v>0</v>
      </c>
      <c r="BP9" s="29"/>
      <c r="BQ9" s="28"/>
      <c r="BR9" s="28"/>
      <c r="BS9" s="28"/>
      <c r="BT9" s="28"/>
      <c r="BU9" s="21">
        <f t="shared" si="4"/>
        <v>0</v>
      </c>
      <c r="BV9" s="21">
        <f t="shared" si="5"/>
        <v>0</v>
      </c>
      <c r="BW9" s="23">
        <f t="shared" si="6"/>
        <v>0</v>
      </c>
      <c r="BX9" s="21">
        <f t="shared" si="7"/>
        <v>0</v>
      </c>
      <c r="BY9" s="23">
        <f t="shared" si="8"/>
        <v>0</v>
      </c>
      <c r="BZ9" s="21">
        <f t="shared" si="9"/>
        <v>0</v>
      </c>
      <c r="CA9" s="21">
        <f t="shared" si="10"/>
        <v>0</v>
      </c>
      <c r="CB9" s="24">
        <f t="shared" si="11"/>
        <v>0</v>
      </c>
      <c r="CC9" s="25">
        <f t="shared" si="12"/>
        <v>0</v>
      </c>
      <c r="CD9" s="30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1:100" ht="12" customHeight="1" x14ac:dyDescent="0.25">
      <c r="A10" s="18" t="s">
        <v>459</v>
      </c>
      <c r="B10" s="21" t="s">
        <v>86</v>
      </c>
      <c r="C10" s="27">
        <v>-3353477</v>
      </c>
      <c r="D10" s="21">
        <v>-7061624</v>
      </c>
      <c r="E10" s="21" t="s">
        <v>468</v>
      </c>
      <c r="F10" s="21"/>
      <c r="G10" s="21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3">
        <f t="shared" si="0"/>
        <v>0</v>
      </c>
      <c r="AQ10" s="29"/>
      <c r="AR10" s="28"/>
      <c r="AS10" s="28"/>
      <c r="AT10" s="28"/>
      <c r="AU10" s="28"/>
      <c r="AV10" s="28"/>
      <c r="AW10" s="28"/>
      <c r="AX10" s="28"/>
      <c r="AY10" s="28"/>
      <c r="AZ10" s="28"/>
      <c r="BA10" s="21">
        <f t="shared" si="1"/>
        <v>0</v>
      </c>
      <c r="BB10" s="29"/>
      <c r="BC10" s="28"/>
      <c r="BD10" s="28"/>
      <c r="BE10" s="28"/>
      <c r="BF10" s="28"/>
      <c r="BG10" s="28"/>
      <c r="BH10" s="21">
        <f t="shared" si="2"/>
        <v>0</v>
      </c>
      <c r="BI10" s="29"/>
      <c r="BJ10" s="28"/>
      <c r="BK10" s="28"/>
      <c r="BL10" s="28"/>
      <c r="BM10" s="28"/>
      <c r="BN10" s="28"/>
      <c r="BO10" s="21">
        <f t="shared" si="3"/>
        <v>0</v>
      </c>
      <c r="BP10" s="29"/>
      <c r="BQ10" s="28"/>
      <c r="BR10" s="28"/>
      <c r="BS10" s="28"/>
      <c r="BT10" s="28"/>
      <c r="BU10" s="21">
        <f t="shared" si="4"/>
        <v>0</v>
      </c>
      <c r="BV10" s="21">
        <f t="shared" si="5"/>
        <v>0</v>
      </c>
      <c r="BW10" s="23">
        <f t="shared" si="6"/>
        <v>0</v>
      </c>
      <c r="BX10" s="21">
        <f t="shared" si="7"/>
        <v>0</v>
      </c>
      <c r="BY10" s="23">
        <f t="shared" si="8"/>
        <v>0</v>
      </c>
      <c r="BZ10" s="21">
        <f t="shared" si="9"/>
        <v>0</v>
      </c>
      <c r="CA10" s="21">
        <f t="shared" si="10"/>
        <v>0</v>
      </c>
      <c r="CB10" s="24">
        <f t="shared" si="11"/>
        <v>0</v>
      </c>
      <c r="CC10" s="25">
        <f t="shared" si="12"/>
        <v>0</v>
      </c>
      <c r="CD10" s="30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1:100" ht="12" customHeight="1" x14ac:dyDescent="0.25">
      <c r="A11" s="18" t="s">
        <v>459</v>
      </c>
      <c r="B11" s="21" t="s">
        <v>85</v>
      </c>
      <c r="C11" s="32">
        <v>-3352980</v>
      </c>
      <c r="D11" s="32">
        <v>-7062310</v>
      </c>
      <c r="E11" s="21" t="s">
        <v>469</v>
      </c>
      <c r="F11" s="21">
        <v>-3352935</v>
      </c>
      <c r="G11" s="21">
        <v>-7062364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3">
        <f t="shared" si="0"/>
        <v>0</v>
      </c>
      <c r="AQ11" s="29"/>
      <c r="AR11" s="28"/>
      <c r="AS11" s="28"/>
      <c r="AT11" s="28"/>
      <c r="AU11" s="28"/>
      <c r="AV11" s="28"/>
      <c r="AW11" s="28"/>
      <c r="AX11" s="28"/>
      <c r="AY11" s="28"/>
      <c r="AZ11" s="28"/>
      <c r="BA11" s="21">
        <f t="shared" si="1"/>
        <v>0</v>
      </c>
      <c r="BB11" s="29"/>
      <c r="BC11" s="28"/>
      <c r="BD11" s="28"/>
      <c r="BE11" s="28"/>
      <c r="BF11" s="28"/>
      <c r="BG11" s="28"/>
      <c r="BH11" s="21">
        <f t="shared" si="2"/>
        <v>0</v>
      </c>
      <c r="BI11" s="29"/>
      <c r="BJ11" s="28"/>
      <c r="BK11" s="28"/>
      <c r="BL11" s="28"/>
      <c r="BM11" s="28"/>
      <c r="BN11" s="28"/>
      <c r="BO11" s="21">
        <f t="shared" si="3"/>
        <v>0</v>
      </c>
      <c r="BP11" s="29"/>
      <c r="BQ11" s="28"/>
      <c r="BR11" s="28"/>
      <c r="BS11" s="28"/>
      <c r="BT11" s="28"/>
      <c r="BU11" s="21">
        <f t="shared" si="4"/>
        <v>0</v>
      </c>
      <c r="BV11" s="21">
        <f t="shared" si="5"/>
        <v>0</v>
      </c>
      <c r="BW11" s="23">
        <f t="shared" si="6"/>
        <v>0</v>
      </c>
      <c r="BX11" s="21">
        <f t="shared" si="7"/>
        <v>0</v>
      </c>
      <c r="BY11" s="23">
        <f t="shared" si="8"/>
        <v>0</v>
      </c>
      <c r="BZ11" s="21">
        <f t="shared" si="9"/>
        <v>0</v>
      </c>
      <c r="CA11" s="21">
        <f t="shared" si="10"/>
        <v>0</v>
      </c>
      <c r="CB11" s="24">
        <f t="shared" si="11"/>
        <v>0</v>
      </c>
      <c r="CC11" s="25">
        <f t="shared" si="12"/>
        <v>0</v>
      </c>
      <c r="CD11" s="29"/>
    </row>
    <row r="12" spans="1:100" ht="12" customHeight="1" x14ac:dyDescent="0.25">
      <c r="A12" s="18" t="s">
        <v>459</v>
      </c>
      <c r="B12" s="21" t="s">
        <v>85</v>
      </c>
      <c r="C12" s="32">
        <v>-3352980</v>
      </c>
      <c r="D12" s="32">
        <v>-7062310</v>
      </c>
      <c r="E12" s="21" t="s">
        <v>470</v>
      </c>
      <c r="F12" s="21">
        <v>-33532401</v>
      </c>
      <c r="G12" s="21">
        <v>-70626029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3">
        <f t="shared" si="0"/>
        <v>0</v>
      </c>
      <c r="AQ12" s="29"/>
      <c r="AR12" s="28"/>
      <c r="AS12" s="28"/>
      <c r="AT12" s="28"/>
      <c r="AU12" s="28"/>
      <c r="AV12" s="28"/>
      <c r="AW12" s="28"/>
      <c r="AX12" s="28"/>
      <c r="AY12" s="28"/>
      <c r="AZ12" s="28"/>
      <c r="BA12" s="21">
        <f t="shared" si="1"/>
        <v>0</v>
      </c>
      <c r="BB12" s="29"/>
      <c r="BC12" s="28"/>
      <c r="BD12" s="28"/>
      <c r="BE12" s="28"/>
      <c r="BF12" s="28"/>
      <c r="BG12" s="28"/>
      <c r="BH12" s="21">
        <f t="shared" si="2"/>
        <v>0</v>
      </c>
      <c r="BI12" s="29"/>
      <c r="BJ12" s="28"/>
      <c r="BK12" s="28"/>
      <c r="BL12" s="28"/>
      <c r="BM12" s="28"/>
      <c r="BN12" s="28"/>
      <c r="BO12" s="21">
        <f t="shared" si="3"/>
        <v>0</v>
      </c>
      <c r="BP12" s="29"/>
      <c r="BQ12" s="28"/>
      <c r="BR12" s="28"/>
      <c r="BS12" s="28"/>
      <c r="BT12" s="28"/>
      <c r="BU12" s="21">
        <f t="shared" si="4"/>
        <v>0</v>
      </c>
      <c r="BV12" s="21">
        <f t="shared" si="5"/>
        <v>0</v>
      </c>
      <c r="BW12" s="23">
        <f t="shared" si="6"/>
        <v>0</v>
      </c>
      <c r="BX12" s="21">
        <f t="shared" si="7"/>
        <v>0</v>
      </c>
      <c r="BY12" s="23">
        <f t="shared" si="8"/>
        <v>0</v>
      </c>
      <c r="BZ12" s="21">
        <f t="shared" si="9"/>
        <v>0</v>
      </c>
      <c r="CA12" s="21">
        <f t="shared" si="10"/>
        <v>0</v>
      </c>
      <c r="CB12" s="24">
        <f t="shared" si="11"/>
        <v>0</v>
      </c>
      <c r="CC12" s="25">
        <f t="shared" si="12"/>
        <v>0</v>
      </c>
      <c r="CD12" s="29"/>
    </row>
    <row r="13" spans="1:100" ht="12" customHeight="1" x14ac:dyDescent="0.25">
      <c r="A13" s="18" t="s">
        <v>459</v>
      </c>
      <c r="B13" s="21" t="s">
        <v>85</v>
      </c>
      <c r="C13" s="32">
        <v>-3352980</v>
      </c>
      <c r="D13" s="32">
        <v>-7062310</v>
      </c>
      <c r="E13" s="21" t="s">
        <v>471</v>
      </c>
      <c r="F13" s="21">
        <v>-33532093</v>
      </c>
      <c r="G13" s="21">
        <v>-70623326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3">
        <f t="shared" si="0"/>
        <v>0</v>
      </c>
      <c r="AQ13" s="29"/>
      <c r="AR13" s="28"/>
      <c r="AS13" s="28"/>
      <c r="AT13" s="28"/>
      <c r="AU13" s="28"/>
      <c r="AV13" s="28"/>
      <c r="AW13" s="28"/>
      <c r="AX13" s="28"/>
      <c r="AY13" s="28"/>
      <c r="AZ13" s="28"/>
      <c r="BA13" s="21">
        <f t="shared" si="1"/>
        <v>0</v>
      </c>
      <c r="BB13" s="29"/>
      <c r="BC13" s="28"/>
      <c r="BD13" s="28"/>
      <c r="BE13" s="28"/>
      <c r="BF13" s="28"/>
      <c r="BG13" s="28"/>
      <c r="BH13" s="21">
        <f t="shared" si="2"/>
        <v>0</v>
      </c>
      <c r="BI13" s="29"/>
      <c r="BJ13" s="28"/>
      <c r="BK13" s="28"/>
      <c r="BL13" s="28"/>
      <c r="BM13" s="28"/>
      <c r="BN13" s="28"/>
      <c r="BO13" s="21">
        <f t="shared" si="3"/>
        <v>0</v>
      </c>
      <c r="BP13" s="29"/>
      <c r="BQ13" s="28"/>
      <c r="BR13" s="28"/>
      <c r="BS13" s="28"/>
      <c r="BT13" s="28"/>
      <c r="BU13" s="21">
        <f t="shared" si="4"/>
        <v>0</v>
      </c>
      <c r="BV13" s="21">
        <f t="shared" si="5"/>
        <v>0</v>
      </c>
      <c r="BW13" s="23">
        <f t="shared" si="6"/>
        <v>0</v>
      </c>
      <c r="BX13" s="21">
        <f t="shared" si="7"/>
        <v>0</v>
      </c>
      <c r="BY13" s="23">
        <f t="shared" si="8"/>
        <v>0</v>
      </c>
      <c r="BZ13" s="21">
        <f t="shared" si="9"/>
        <v>0</v>
      </c>
      <c r="CA13" s="21">
        <f t="shared" si="10"/>
        <v>0</v>
      </c>
      <c r="CB13" s="24">
        <f t="shared" si="11"/>
        <v>0</v>
      </c>
      <c r="CC13" s="25">
        <f t="shared" si="12"/>
        <v>0</v>
      </c>
      <c r="CD13" s="29"/>
    </row>
    <row r="14" spans="1:100" ht="12" customHeight="1" x14ac:dyDescent="0.25">
      <c r="A14" s="18" t="s">
        <v>459</v>
      </c>
      <c r="B14" s="21" t="s">
        <v>85</v>
      </c>
      <c r="C14" s="27">
        <v>-33532276</v>
      </c>
      <c r="D14" s="21">
        <v>-70622977</v>
      </c>
      <c r="E14" s="21" t="s">
        <v>472</v>
      </c>
      <c r="F14" s="21">
        <v>-33532276</v>
      </c>
      <c r="G14" s="21">
        <v>-70622977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3">
        <f t="shared" si="0"/>
        <v>0</v>
      </c>
      <c r="AQ14" s="29"/>
      <c r="AR14" s="28">
        <v>0</v>
      </c>
      <c r="AS14" s="28">
        <v>0</v>
      </c>
      <c r="AT14" s="28">
        <v>1</v>
      </c>
      <c r="AU14" s="28">
        <v>0</v>
      </c>
      <c r="AV14" s="28">
        <v>1</v>
      </c>
      <c r="AW14" s="28">
        <v>1</v>
      </c>
      <c r="AX14" s="28">
        <v>1</v>
      </c>
      <c r="AY14" s="28">
        <v>1</v>
      </c>
      <c r="AZ14" s="28">
        <v>0</v>
      </c>
      <c r="BA14" s="21">
        <f t="shared" si="1"/>
        <v>5</v>
      </c>
      <c r="BB14" s="29"/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1">
        <f t="shared" si="2"/>
        <v>0</v>
      </c>
      <c r="BI14" s="29"/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1">
        <f t="shared" si="3"/>
        <v>0</v>
      </c>
      <c r="BP14" s="29"/>
      <c r="BQ14" s="28">
        <v>0</v>
      </c>
      <c r="BR14" s="28">
        <v>0</v>
      </c>
      <c r="BS14" s="28">
        <v>1</v>
      </c>
      <c r="BT14" s="28">
        <v>0</v>
      </c>
      <c r="BU14" s="21">
        <f t="shared" si="4"/>
        <v>0</v>
      </c>
      <c r="BV14" s="21">
        <f t="shared" si="5"/>
        <v>1</v>
      </c>
      <c r="BW14" s="23">
        <f t="shared" si="6"/>
        <v>0</v>
      </c>
      <c r="BX14" s="21">
        <f t="shared" si="7"/>
        <v>5</v>
      </c>
      <c r="BY14" s="23">
        <f t="shared" si="8"/>
        <v>-5</v>
      </c>
      <c r="BZ14" s="21">
        <f t="shared" si="9"/>
        <v>0</v>
      </c>
      <c r="CA14" s="21">
        <f t="shared" si="10"/>
        <v>0</v>
      </c>
      <c r="CB14" s="24">
        <f t="shared" si="11"/>
        <v>-1</v>
      </c>
      <c r="CC14" s="25">
        <f t="shared" si="12"/>
        <v>-6</v>
      </c>
      <c r="CD14" s="29"/>
    </row>
    <row r="15" spans="1:100" ht="12" customHeight="1" x14ac:dyDescent="0.25">
      <c r="A15" s="18" t="s">
        <v>459</v>
      </c>
      <c r="B15" s="21" t="s">
        <v>85</v>
      </c>
      <c r="C15" s="27">
        <v>-33533231</v>
      </c>
      <c r="D15" s="27">
        <v>-70622821</v>
      </c>
      <c r="E15" s="21" t="s">
        <v>473</v>
      </c>
      <c r="F15" s="27">
        <v>-33533231</v>
      </c>
      <c r="G15" s="27">
        <v>-70622821</v>
      </c>
      <c r="H15" s="2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3">
        <f t="shared" si="0"/>
        <v>0</v>
      </c>
      <c r="AQ15" s="29"/>
      <c r="AR15" s="28"/>
      <c r="AS15" s="28"/>
      <c r="AT15" s="28"/>
      <c r="AU15" s="28"/>
      <c r="AV15" s="28"/>
      <c r="AW15" s="28"/>
      <c r="AX15" s="28"/>
      <c r="AY15" s="28"/>
      <c r="AZ15" s="28"/>
      <c r="BA15" s="21">
        <f t="shared" si="1"/>
        <v>0</v>
      </c>
      <c r="BB15" s="29"/>
      <c r="BC15" s="28"/>
      <c r="BD15" s="28"/>
      <c r="BE15" s="28"/>
      <c r="BF15" s="28"/>
      <c r="BG15" s="28"/>
      <c r="BH15" s="21">
        <f t="shared" si="2"/>
        <v>0</v>
      </c>
      <c r="BI15" s="29"/>
      <c r="BJ15" s="28"/>
      <c r="BK15" s="28"/>
      <c r="BL15" s="28"/>
      <c r="BM15" s="28"/>
      <c r="BN15" s="28"/>
      <c r="BO15" s="21">
        <f t="shared" si="3"/>
        <v>0</v>
      </c>
      <c r="BP15" s="29"/>
      <c r="BQ15" s="28"/>
      <c r="BR15" s="28"/>
      <c r="BS15" s="28"/>
      <c r="BT15" s="28"/>
      <c r="BU15" s="21">
        <f t="shared" si="4"/>
        <v>0</v>
      </c>
      <c r="BV15" s="21">
        <f t="shared" si="5"/>
        <v>0</v>
      </c>
      <c r="BW15" s="23">
        <f t="shared" si="6"/>
        <v>0</v>
      </c>
      <c r="BX15" s="21">
        <f t="shared" si="7"/>
        <v>0</v>
      </c>
      <c r="BY15" s="23">
        <f t="shared" si="8"/>
        <v>0</v>
      </c>
      <c r="BZ15" s="21">
        <f t="shared" si="9"/>
        <v>0</v>
      </c>
      <c r="CA15" s="21">
        <f t="shared" si="10"/>
        <v>0</v>
      </c>
      <c r="CB15" s="24">
        <f t="shared" si="11"/>
        <v>0</v>
      </c>
      <c r="CC15" s="25">
        <f t="shared" si="12"/>
        <v>0</v>
      </c>
      <c r="CD15" s="29"/>
    </row>
    <row r="16" spans="1:100" ht="12" customHeight="1" x14ac:dyDescent="0.25">
      <c r="A16" s="18" t="s">
        <v>459</v>
      </c>
      <c r="B16" s="21" t="s">
        <v>85</v>
      </c>
      <c r="C16" s="27">
        <v>-33524748</v>
      </c>
      <c r="D16" s="21">
        <v>-70620947</v>
      </c>
      <c r="E16" s="21" t="s">
        <v>474</v>
      </c>
      <c r="F16" s="23">
        <v>-33524748</v>
      </c>
      <c r="G16" s="23">
        <v>-70620947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3">
        <f t="shared" si="0"/>
        <v>0</v>
      </c>
      <c r="AQ16" s="29"/>
      <c r="AR16" s="28">
        <v>0</v>
      </c>
      <c r="AS16" s="28">
        <v>0</v>
      </c>
      <c r="AT16" s="28">
        <v>1</v>
      </c>
      <c r="AU16" s="28">
        <v>0</v>
      </c>
      <c r="AV16" s="28">
        <v>0</v>
      </c>
      <c r="AW16" s="28">
        <v>0</v>
      </c>
      <c r="AX16" s="28">
        <v>1</v>
      </c>
      <c r="AY16" s="28">
        <v>1</v>
      </c>
      <c r="AZ16" s="28">
        <v>1</v>
      </c>
      <c r="BA16" s="21">
        <f t="shared" si="1"/>
        <v>4</v>
      </c>
      <c r="BB16" s="29"/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1">
        <f t="shared" si="2"/>
        <v>0</v>
      </c>
      <c r="BI16" s="29"/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1">
        <f t="shared" si="3"/>
        <v>0</v>
      </c>
      <c r="BP16" s="29"/>
      <c r="BQ16" s="28">
        <v>0</v>
      </c>
      <c r="BR16" s="28">
        <v>1</v>
      </c>
      <c r="BS16" s="28">
        <v>1</v>
      </c>
      <c r="BT16" s="28">
        <v>0</v>
      </c>
      <c r="BU16" s="21">
        <f t="shared" si="4"/>
        <v>1</v>
      </c>
      <c r="BV16" s="21">
        <f t="shared" si="5"/>
        <v>1</v>
      </c>
      <c r="BW16" s="23">
        <f t="shared" si="6"/>
        <v>0</v>
      </c>
      <c r="BX16" s="21">
        <f t="shared" si="7"/>
        <v>4</v>
      </c>
      <c r="BY16" s="23">
        <f t="shared" si="8"/>
        <v>-4</v>
      </c>
      <c r="BZ16" s="21">
        <f t="shared" si="9"/>
        <v>0</v>
      </c>
      <c r="CA16" s="21">
        <f t="shared" si="10"/>
        <v>0</v>
      </c>
      <c r="CB16" s="24">
        <f t="shared" si="11"/>
        <v>0</v>
      </c>
      <c r="CC16" s="25">
        <f t="shared" si="12"/>
        <v>-4</v>
      </c>
      <c r="CD16" s="29"/>
    </row>
    <row r="17" spans="1:82" ht="12" customHeight="1" x14ac:dyDescent="0.25">
      <c r="A17" s="18" t="s">
        <v>459</v>
      </c>
      <c r="B17" s="21" t="s">
        <v>475</v>
      </c>
      <c r="C17" s="32">
        <v>-3352935</v>
      </c>
      <c r="D17" s="32">
        <v>-7062364</v>
      </c>
      <c r="E17" s="21" t="s">
        <v>476</v>
      </c>
      <c r="F17" s="32">
        <v>-3352935</v>
      </c>
      <c r="G17" s="32">
        <v>-7062364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3">
        <f t="shared" si="0"/>
        <v>0</v>
      </c>
      <c r="AQ17" s="29"/>
      <c r="AR17" s="28"/>
      <c r="AS17" s="28"/>
      <c r="AT17" s="28"/>
      <c r="AU17" s="28"/>
      <c r="AV17" s="28"/>
      <c r="AW17" s="28"/>
      <c r="AX17" s="28"/>
      <c r="AY17" s="28"/>
      <c r="AZ17" s="28"/>
      <c r="BA17" s="21">
        <f t="shared" si="1"/>
        <v>0</v>
      </c>
      <c r="BB17" s="29"/>
      <c r="BC17" s="28"/>
      <c r="BD17" s="28"/>
      <c r="BE17" s="28"/>
      <c r="BF17" s="28"/>
      <c r="BG17" s="28"/>
      <c r="BH17" s="21">
        <f t="shared" si="2"/>
        <v>0</v>
      </c>
      <c r="BI17" s="29"/>
      <c r="BJ17" s="28"/>
      <c r="BK17" s="28"/>
      <c r="BL17" s="28"/>
      <c r="BM17" s="28"/>
      <c r="BN17" s="28"/>
      <c r="BO17" s="21">
        <f t="shared" si="3"/>
        <v>0</v>
      </c>
      <c r="BP17" s="29"/>
      <c r="BQ17" s="28"/>
      <c r="BR17" s="28"/>
      <c r="BS17" s="28"/>
      <c r="BT17" s="28"/>
      <c r="BU17" s="21">
        <f t="shared" si="4"/>
        <v>0</v>
      </c>
      <c r="BV17" s="21">
        <f t="shared" si="5"/>
        <v>0</v>
      </c>
      <c r="BW17" s="23">
        <f t="shared" si="6"/>
        <v>0</v>
      </c>
      <c r="BX17" s="21">
        <f t="shared" si="7"/>
        <v>0</v>
      </c>
      <c r="BY17" s="23">
        <f t="shared" si="8"/>
        <v>0</v>
      </c>
      <c r="BZ17" s="21">
        <f t="shared" si="9"/>
        <v>0</v>
      </c>
      <c r="CA17" s="21">
        <f t="shared" si="10"/>
        <v>0</v>
      </c>
      <c r="CB17" s="24">
        <f t="shared" si="11"/>
        <v>0</v>
      </c>
      <c r="CC17" s="25">
        <f t="shared" si="12"/>
        <v>0</v>
      </c>
      <c r="CD17" s="29"/>
    </row>
    <row r="18" spans="1:82" ht="12" customHeight="1" x14ac:dyDescent="0.25">
      <c r="A18" s="18" t="s">
        <v>459</v>
      </c>
      <c r="B18" s="21" t="s">
        <v>475</v>
      </c>
      <c r="C18" s="27">
        <v>-33532276</v>
      </c>
      <c r="D18" s="21">
        <v>-70622977</v>
      </c>
      <c r="E18" s="21" t="s">
        <v>472</v>
      </c>
      <c r="F18" s="21">
        <v>-33532276</v>
      </c>
      <c r="G18" s="21">
        <v>-70622977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3">
        <f t="shared" si="0"/>
        <v>0</v>
      </c>
      <c r="AQ18" s="29"/>
      <c r="AR18" s="28">
        <v>0</v>
      </c>
      <c r="AS18" s="28">
        <v>0</v>
      </c>
      <c r="AT18" s="28">
        <v>1</v>
      </c>
      <c r="AU18" s="28">
        <v>0</v>
      </c>
      <c r="AV18" s="28">
        <v>1</v>
      </c>
      <c r="AW18" s="28">
        <v>1</v>
      </c>
      <c r="AX18" s="28">
        <v>1</v>
      </c>
      <c r="AY18" s="28">
        <v>1</v>
      </c>
      <c r="AZ18" s="28">
        <v>0</v>
      </c>
      <c r="BA18" s="21">
        <f t="shared" si="1"/>
        <v>5</v>
      </c>
      <c r="BB18" s="29"/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1">
        <f t="shared" si="2"/>
        <v>0</v>
      </c>
      <c r="BI18" s="29"/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1">
        <f t="shared" si="3"/>
        <v>0</v>
      </c>
      <c r="BP18" s="29"/>
      <c r="BQ18" s="28">
        <v>0</v>
      </c>
      <c r="BR18" s="28">
        <v>0</v>
      </c>
      <c r="BS18" s="28">
        <v>1</v>
      </c>
      <c r="BT18" s="28">
        <v>0</v>
      </c>
      <c r="BU18" s="21">
        <f t="shared" si="4"/>
        <v>0</v>
      </c>
      <c r="BV18" s="21">
        <f t="shared" si="5"/>
        <v>1</v>
      </c>
      <c r="BW18" s="23">
        <f t="shared" si="6"/>
        <v>0</v>
      </c>
      <c r="BX18" s="21">
        <f t="shared" si="7"/>
        <v>5</v>
      </c>
      <c r="BY18" s="23">
        <f t="shared" si="8"/>
        <v>-5</v>
      </c>
      <c r="BZ18" s="21">
        <f t="shared" si="9"/>
        <v>0</v>
      </c>
      <c r="CA18" s="21">
        <f t="shared" si="10"/>
        <v>0</v>
      </c>
      <c r="CB18" s="24">
        <f t="shared" si="11"/>
        <v>-1</v>
      </c>
      <c r="CC18" s="25">
        <f t="shared" si="12"/>
        <v>-6</v>
      </c>
      <c r="CD18" s="29"/>
    </row>
    <row r="19" spans="1:82" ht="12" customHeight="1" x14ac:dyDescent="0.25">
      <c r="A19" s="18" t="s">
        <v>459</v>
      </c>
      <c r="B19" s="21" t="s">
        <v>84</v>
      </c>
      <c r="C19" s="32">
        <v>-3352762</v>
      </c>
      <c r="D19" s="32">
        <v>-7062166</v>
      </c>
      <c r="E19" s="21" t="s">
        <v>477</v>
      </c>
      <c r="F19" s="21">
        <v>-33527074</v>
      </c>
      <c r="G19" s="21">
        <v>-70618345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3">
        <f t="shared" si="0"/>
        <v>0</v>
      </c>
      <c r="AQ19" s="29"/>
      <c r="AR19" s="28"/>
      <c r="AS19" s="28"/>
      <c r="AT19" s="28"/>
      <c r="AU19" s="28"/>
      <c r="AV19" s="28"/>
      <c r="AW19" s="28"/>
      <c r="AX19" s="28"/>
      <c r="AY19" s="28"/>
      <c r="AZ19" s="28"/>
      <c r="BA19" s="21">
        <f t="shared" si="1"/>
        <v>0</v>
      </c>
      <c r="BB19" s="29"/>
      <c r="BC19" s="28"/>
      <c r="BD19" s="28"/>
      <c r="BE19" s="28"/>
      <c r="BF19" s="28"/>
      <c r="BG19" s="28"/>
      <c r="BH19" s="21">
        <f t="shared" si="2"/>
        <v>0</v>
      </c>
      <c r="BI19" s="29"/>
      <c r="BJ19" s="28"/>
      <c r="BK19" s="28"/>
      <c r="BL19" s="28"/>
      <c r="BM19" s="28"/>
      <c r="BN19" s="28"/>
      <c r="BO19" s="21">
        <f t="shared" si="3"/>
        <v>0</v>
      </c>
      <c r="BP19" s="29"/>
      <c r="BQ19" s="28"/>
      <c r="BR19" s="28"/>
      <c r="BS19" s="28"/>
      <c r="BT19" s="28"/>
      <c r="BU19" s="21">
        <f t="shared" si="4"/>
        <v>0</v>
      </c>
      <c r="BV19" s="21">
        <f t="shared" si="5"/>
        <v>0</v>
      </c>
      <c r="BW19" s="23">
        <f t="shared" si="6"/>
        <v>0</v>
      </c>
      <c r="BX19" s="21">
        <f t="shared" si="7"/>
        <v>0</v>
      </c>
      <c r="BY19" s="23">
        <f t="shared" si="8"/>
        <v>0</v>
      </c>
      <c r="BZ19" s="21">
        <f t="shared" si="9"/>
        <v>0</v>
      </c>
      <c r="CA19" s="21">
        <f t="shared" si="10"/>
        <v>0</v>
      </c>
      <c r="CB19" s="24">
        <f t="shared" si="11"/>
        <v>0</v>
      </c>
      <c r="CC19" s="25">
        <f t="shared" si="12"/>
        <v>0</v>
      </c>
      <c r="CD19" s="29"/>
    </row>
    <row r="20" spans="1:82" ht="12" customHeight="1" x14ac:dyDescent="0.25">
      <c r="A20" s="18" t="s">
        <v>459</v>
      </c>
      <c r="B20" s="21" t="s">
        <v>475</v>
      </c>
      <c r="C20" s="27">
        <v>-33533231</v>
      </c>
      <c r="D20" s="27">
        <v>-70622821</v>
      </c>
      <c r="E20" s="21" t="s">
        <v>473</v>
      </c>
      <c r="F20" s="27">
        <v>-33533231</v>
      </c>
      <c r="G20" s="27">
        <v>-70622821</v>
      </c>
      <c r="H20" s="21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3">
        <f t="shared" si="0"/>
        <v>0</v>
      </c>
      <c r="AQ20" s="29"/>
      <c r="AR20" s="28"/>
      <c r="AS20" s="28"/>
      <c r="AT20" s="28"/>
      <c r="AU20" s="28"/>
      <c r="AV20" s="28"/>
      <c r="AW20" s="28"/>
      <c r="AX20" s="28"/>
      <c r="AY20" s="28"/>
      <c r="AZ20" s="28"/>
      <c r="BA20" s="21">
        <f t="shared" si="1"/>
        <v>0</v>
      </c>
      <c r="BB20" s="29"/>
      <c r="BC20" s="28"/>
      <c r="BD20" s="28"/>
      <c r="BE20" s="28"/>
      <c r="BF20" s="28"/>
      <c r="BG20" s="28"/>
      <c r="BH20" s="21">
        <f t="shared" si="2"/>
        <v>0</v>
      </c>
      <c r="BI20" s="29"/>
      <c r="BJ20" s="28"/>
      <c r="BK20" s="28"/>
      <c r="BL20" s="28"/>
      <c r="BM20" s="28"/>
      <c r="BN20" s="28"/>
      <c r="BO20" s="21">
        <f t="shared" si="3"/>
        <v>0</v>
      </c>
      <c r="BP20" s="29"/>
      <c r="BQ20" s="28"/>
      <c r="BR20" s="28"/>
      <c r="BS20" s="28"/>
      <c r="BT20" s="28"/>
      <c r="BU20" s="21">
        <f t="shared" si="4"/>
        <v>0</v>
      </c>
      <c r="BV20" s="21">
        <f t="shared" si="5"/>
        <v>0</v>
      </c>
      <c r="BW20" s="23">
        <f t="shared" si="6"/>
        <v>0</v>
      </c>
      <c r="BX20" s="21">
        <f t="shared" si="7"/>
        <v>0</v>
      </c>
      <c r="BY20" s="23">
        <f t="shared" si="8"/>
        <v>0</v>
      </c>
      <c r="BZ20" s="21">
        <f t="shared" si="9"/>
        <v>0</v>
      </c>
      <c r="CA20" s="21">
        <f t="shared" si="10"/>
        <v>0</v>
      </c>
      <c r="CB20" s="24">
        <f t="shared" si="11"/>
        <v>0</v>
      </c>
      <c r="CC20" s="25">
        <f t="shared" si="12"/>
        <v>0</v>
      </c>
      <c r="CD20" s="29"/>
    </row>
    <row r="21" spans="1:82" ht="12" customHeight="1" x14ac:dyDescent="0.25">
      <c r="A21" s="18" t="s">
        <v>459</v>
      </c>
      <c r="B21" s="21" t="s">
        <v>475</v>
      </c>
      <c r="C21" s="27">
        <v>-33524748</v>
      </c>
      <c r="D21" s="21">
        <v>-70620947</v>
      </c>
      <c r="E21" s="21" t="s">
        <v>474</v>
      </c>
      <c r="F21" s="23">
        <v>-33524748</v>
      </c>
      <c r="G21" s="23">
        <v>-70620947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3">
        <f t="shared" si="0"/>
        <v>0</v>
      </c>
      <c r="AQ21" s="29"/>
      <c r="AR21" s="28">
        <v>0</v>
      </c>
      <c r="AS21" s="28">
        <v>0</v>
      </c>
      <c r="AT21" s="28">
        <v>1</v>
      </c>
      <c r="AU21" s="28">
        <v>1</v>
      </c>
      <c r="AV21" s="28">
        <v>1</v>
      </c>
      <c r="AW21" s="28">
        <v>1</v>
      </c>
      <c r="AX21" s="28">
        <v>1</v>
      </c>
      <c r="AY21" s="28">
        <v>1</v>
      </c>
      <c r="AZ21" s="28">
        <v>1</v>
      </c>
      <c r="BA21" s="21">
        <f t="shared" si="1"/>
        <v>7</v>
      </c>
      <c r="BB21" s="29"/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1">
        <f t="shared" si="2"/>
        <v>0</v>
      </c>
      <c r="BI21" s="29"/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1">
        <f t="shared" si="3"/>
        <v>0</v>
      </c>
      <c r="BP21" s="29"/>
      <c r="BQ21" s="28">
        <v>0</v>
      </c>
      <c r="BR21" s="28">
        <v>1</v>
      </c>
      <c r="BS21" s="28">
        <v>1</v>
      </c>
      <c r="BT21" s="28">
        <v>0</v>
      </c>
      <c r="BU21" s="21">
        <f t="shared" si="4"/>
        <v>1</v>
      </c>
      <c r="BV21" s="21">
        <f t="shared" si="5"/>
        <v>1</v>
      </c>
      <c r="BW21" s="23">
        <f t="shared" si="6"/>
        <v>0</v>
      </c>
      <c r="BX21" s="21">
        <f t="shared" si="7"/>
        <v>7</v>
      </c>
      <c r="BY21" s="23">
        <f t="shared" si="8"/>
        <v>-7</v>
      </c>
      <c r="BZ21" s="21">
        <f t="shared" si="9"/>
        <v>0</v>
      </c>
      <c r="CA21" s="21">
        <f t="shared" si="10"/>
        <v>0</v>
      </c>
      <c r="CB21" s="24">
        <f t="shared" si="11"/>
        <v>0</v>
      </c>
      <c r="CC21" s="25">
        <f t="shared" si="12"/>
        <v>-7</v>
      </c>
      <c r="CD21" s="29"/>
    </row>
    <row r="22" spans="1:82" ht="12" customHeight="1" x14ac:dyDescent="0.25">
      <c r="A22" s="18" t="s">
        <v>459</v>
      </c>
      <c r="B22" s="21" t="s">
        <v>88</v>
      </c>
      <c r="C22" s="32">
        <v>-33505741</v>
      </c>
      <c r="D22" s="28">
        <v>-70624308</v>
      </c>
      <c r="E22" s="21" t="s">
        <v>478</v>
      </c>
      <c r="F22" s="21">
        <v>-33502363</v>
      </c>
      <c r="G22" s="21">
        <v>-70624169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3">
        <f t="shared" si="0"/>
        <v>0</v>
      </c>
      <c r="AQ22" s="29"/>
      <c r="AR22" s="21"/>
      <c r="AS22" s="21"/>
      <c r="AT22" s="21"/>
      <c r="AU22" s="21"/>
      <c r="AV22" s="21"/>
      <c r="AW22" s="21"/>
      <c r="AX22" s="21"/>
      <c r="AY22" s="21"/>
      <c r="AZ22" s="21"/>
      <c r="BA22" s="21">
        <f t="shared" si="1"/>
        <v>0</v>
      </c>
      <c r="BB22" s="29"/>
      <c r="BC22" s="21"/>
      <c r="BD22" s="21"/>
      <c r="BE22" s="21"/>
      <c r="BF22" s="21"/>
      <c r="BG22" s="21"/>
      <c r="BH22" s="21">
        <f t="shared" si="2"/>
        <v>0</v>
      </c>
      <c r="BI22" s="29"/>
      <c r="BJ22" s="21"/>
      <c r="BK22" s="21"/>
      <c r="BL22" s="21"/>
      <c r="BM22" s="21"/>
      <c r="BN22" s="21"/>
      <c r="BO22" s="21">
        <f t="shared" si="3"/>
        <v>0</v>
      </c>
      <c r="BP22" s="29"/>
      <c r="BQ22" s="21"/>
      <c r="BR22" s="21"/>
      <c r="BS22" s="21"/>
      <c r="BT22" s="21"/>
      <c r="BU22" s="21">
        <f t="shared" si="4"/>
        <v>0</v>
      </c>
      <c r="BV22" s="21">
        <f t="shared" si="5"/>
        <v>0</v>
      </c>
      <c r="BW22" s="23">
        <f t="shared" si="6"/>
        <v>0</v>
      </c>
      <c r="BX22" s="21">
        <f t="shared" si="7"/>
        <v>0</v>
      </c>
      <c r="BY22" s="23">
        <f t="shared" si="8"/>
        <v>0</v>
      </c>
      <c r="BZ22" s="21">
        <f t="shared" si="9"/>
        <v>0</v>
      </c>
      <c r="CA22" s="21">
        <f t="shared" si="10"/>
        <v>0</v>
      </c>
      <c r="CB22" s="24">
        <f t="shared" si="11"/>
        <v>0</v>
      </c>
      <c r="CC22" s="25">
        <f t="shared" si="12"/>
        <v>0</v>
      </c>
      <c r="CD22" s="29"/>
    </row>
    <row r="23" spans="1:82" ht="12" customHeight="1" x14ac:dyDescent="0.25">
      <c r="A23" s="18" t="s">
        <v>459</v>
      </c>
      <c r="B23" s="21" t="s">
        <v>88</v>
      </c>
      <c r="C23" s="32">
        <v>-33505741</v>
      </c>
      <c r="D23" s="28">
        <v>-70624308</v>
      </c>
      <c r="E23" s="21" t="s">
        <v>479</v>
      </c>
      <c r="F23" s="21">
        <v>-33502509</v>
      </c>
      <c r="G23" s="21">
        <v>-7062280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3">
        <f t="shared" si="0"/>
        <v>0</v>
      </c>
      <c r="AQ23" s="29"/>
      <c r="AR23" s="21"/>
      <c r="AS23" s="21"/>
      <c r="AT23" s="21"/>
      <c r="AU23" s="21"/>
      <c r="AV23" s="21"/>
      <c r="AW23" s="21"/>
      <c r="AX23" s="21"/>
      <c r="AY23" s="21"/>
      <c r="AZ23" s="21"/>
      <c r="BA23" s="21">
        <f t="shared" si="1"/>
        <v>0</v>
      </c>
      <c r="BB23" s="29"/>
      <c r="BC23" s="21"/>
      <c r="BD23" s="21"/>
      <c r="BE23" s="21"/>
      <c r="BF23" s="21"/>
      <c r="BG23" s="21"/>
      <c r="BH23" s="21">
        <f t="shared" si="2"/>
        <v>0</v>
      </c>
      <c r="BI23" s="29"/>
      <c r="BJ23" s="21"/>
      <c r="BK23" s="21"/>
      <c r="BL23" s="21"/>
      <c r="BM23" s="21"/>
      <c r="BN23" s="21"/>
      <c r="BO23" s="21">
        <f t="shared" si="3"/>
        <v>0</v>
      </c>
      <c r="BP23" s="29"/>
      <c r="BQ23" s="21"/>
      <c r="BR23" s="21"/>
      <c r="BS23" s="21"/>
      <c r="BT23" s="21"/>
      <c r="BU23" s="21">
        <f t="shared" si="4"/>
        <v>0</v>
      </c>
      <c r="BV23" s="21">
        <f t="shared" si="5"/>
        <v>0</v>
      </c>
      <c r="BW23" s="23">
        <f t="shared" si="6"/>
        <v>0</v>
      </c>
      <c r="BX23" s="21">
        <f t="shared" si="7"/>
        <v>0</v>
      </c>
      <c r="BY23" s="23">
        <f t="shared" si="8"/>
        <v>0</v>
      </c>
      <c r="BZ23" s="21">
        <f t="shared" si="9"/>
        <v>0</v>
      </c>
      <c r="CA23" s="21">
        <f t="shared" si="10"/>
        <v>0</v>
      </c>
      <c r="CB23" s="24">
        <f t="shared" si="11"/>
        <v>0</v>
      </c>
      <c r="CC23" s="25">
        <f t="shared" si="12"/>
        <v>0</v>
      </c>
      <c r="CD23" s="29"/>
    </row>
    <row r="24" spans="1:82" ht="12" customHeight="1" x14ac:dyDescent="0.25">
      <c r="A24" s="18" t="s">
        <v>459</v>
      </c>
      <c r="B24" s="21" t="s">
        <v>88</v>
      </c>
      <c r="C24" s="32">
        <v>-33505741</v>
      </c>
      <c r="D24" s="28">
        <v>-70624308</v>
      </c>
      <c r="E24" s="21" t="s">
        <v>480</v>
      </c>
      <c r="F24" s="21">
        <v>-3350787</v>
      </c>
      <c r="G24" s="21">
        <v>-70622035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3">
        <f t="shared" si="0"/>
        <v>0</v>
      </c>
      <c r="AQ24" s="29"/>
      <c r="AR24" s="21"/>
      <c r="AS24" s="21"/>
      <c r="AT24" s="21"/>
      <c r="AU24" s="21"/>
      <c r="AV24" s="21"/>
      <c r="AW24" s="21"/>
      <c r="AX24" s="21"/>
      <c r="AY24" s="21"/>
      <c r="AZ24" s="21"/>
      <c r="BA24" s="21">
        <f t="shared" si="1"/>
        <v>0</v>
      </c>
      <c r="BB24" s="29"/>
      <c r="BC24" s="21"/>
      <c r="BD24" s="21"/>
      <c r="BE24" s="21"/>
      <c r="BF24" s="21"/>
      <c r="BG24" s="21"/>
      <c r="BH24" s="21">
        <f t="shared" si="2"/>
        <v>0</v>
      </c>
      <c r="BI24" s="29"/>
      <c r="BJ24" s="21"/>
      <c r="BK24" s="21"/>
      <c r="BL24" s="21"/>
      <c r="BM24" s="21"/>
      <c r="BN24" s="21"/>
      <c r="BO24" s="21">
        <f t="shared" si="3"/>
        <v>0</v>
      </c>
      <c r="BP24" s="29"/>
      <c r="BQ24" s="21"/>
      <c r="BR24" s="21"/>
      <c r="BS24" s="21"/>
      <c r="BT24" s="21"/>
      <c r="BU24" s="21">
        <f t="shared" si="4"/>
        <v>0</v>
      </c>
      <c r="BV24" s="21">
        <f t="shared" si="5"/>
        <v>0</v>
      </c>
      <c r="BW24" s="23">
        <f t="shared" si="6"/>
        <v>0</v>
      </c>
      <c r="BX24" s="21">
        <f t="shared" si="7"/>
        <v>0</v>
      </c>
      <c r="BY24" s="23">
        <f t="shared" si="8"/>
        <v>0</v>
      </c>
      <c r="BZ24" s="21">
        <f t="shared" si="9"/>
        <v>0</v>
      </c>
      <c r="CA24" s="21">
        <f t="shared" si="10"/>
        <v>0</v>
      </c>
      <c r="CB24" s="24">
        <f t="shared" si="11"/>
        <v>0</v>
      </c>
      <c r="CC24" s="25">
        <f t="shared" si="12"/>
        <v>0</v>
      </c>
      <c r="CD24" s="29"/>
    </row>
    <row r="25" spans="1:82" ht="12" customHeight="1" x14ac:dyDescent="0.25">
      <c r="A25" s="18" t="s">
        <v>459</v>
      </c>
      <c r="B25" s="21" t="s">
        <v>88</v>
      </c>
      <c r="C25" s="32">
        <v>-33505741</v>
      </c>
      <c r="D25" s="28">
        <v>-70624308</v>
      </c>
      <c r="E25" s="21" t="s">
        <v>481</v>
      </c>
      <c r="F25" s="21">
        <v>-3350787</v>
      </c>
      <c r="G25" s="33">
        <v>-70622035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3">
        <f t="shared" si="0"/>
        <v>0</v>
      </c>
      <c r="AQ25" s="29"/>
      <c r="AR25" s="21"/>
      <c r="AS25" s="21"/>
      <c r="AT25" s="21"/>
      <c r="AU25" s="21"/>
      <c r="AV25" s="21"/>
      <c r="AW25" s="21"/>
      <c r="AX25" s="21"/>
      <c r="AY25" s="21"/>
      <c r="AZ25" s="21"/>
      <c r="BA25" s="21">
        <f t="shared" si="1"/>
        <v>0</v>
      </c>
      <c r="BB25" s="29"/>
      <c r="BC25" s="21"/>
      <c r="BD25" s="21"/>
      <c r="BE25" s="21"/>
      <c r="BF25" s="21"/>
      <c r="BG25" s="21"/>
      <c r="BH25" s="21">
        <f t="shared" si="2"/>
        <v>0</v>
      </c>
      <c r="BI25" s="29"/>
      <c r="BJ25" s="21"/>
      <c r="BK25" s="21"/>
      <c r="BL25" s="21"/>
      <c r="BM25" s="21"/>
      <c r="BN25" s="21"/>
      <c r="BO25" s="21">
        <f t="shared" si="3"/>
        <v>0</v>
      </c>
      <c r="BP25" s="29"/>
      <c r="BQ25" s="21"/>
      <c r="BR25" s="21"/>
      <c r="BS25" s="21"/>
      <c r="BT25" s="21"/>
      <c r="BU25" s="21">
        <f t="shared" si="4"/>
        <v>0</v>
      </c>
      <c r="BV25" s="21">
        <f t="shared" si="5"/>
        <v>0</v>
      </c>
      <c r="BW25" s="23">
        <f t="shared" si="6"/>
        <v>0</v>
      </c>
      <c r="BX25" s="21">
        <f t="shared" si="7"/>
        <v>0</v>
      </c>
      <c r="BY25" s="23">
        <f t="shared" si="8"/>
        <v>0</v>
      </c>
      <c r="BZ25" s="21">
        <f t="shared" si="9"/>
        <v>0</v>
      </c>
      <c r="CA25" s="21">
        <f t="shared" si="10"/>
        <v>0</v>
      </c>
      <c r="CB25" s="24">
        <f t="shared" si="11"/>
        <v>0</v>
      </c>
      <c r="CC25" s="25">
        <f t="shared" si="12"/>
        <v>0</v>
      </c>
      <c r="CD25" s="29"/>
    </row>
    <row r="26" spans="1:82" ht="12" customHeight="1" x14ac:dyDescent="0.25">
      <c r="A26" s="18" t="s">
        <v>459</v>
      </c>
      <c r="B26" s="21" t="s">
        <v>88</v>
      </c>
      <c r="C26" s="32">
        <v>-33505741</v>
      </c>
      <c r="D26" s="28">
        <v>-70624308</v>
      </c>
      <c r="E26" s="21" t="s">
        <v>482</v>
      </c>
      <c r="F26" s="21">
        <v>-33506942</v>
      </c>
      <c r="G26" s="21">
        <v>-70625894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1</v>
      </c>
      <c r="O26" s="21">
        <v>0</v>
      </c>
      <c r="P26" s="21">
        <v>1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1</v>
      </c>
      <c r="AE26" s="21">
        <v>0</v>
      </c>
      <c r="AF26" s="21">
        <v>1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3">
        <f t="shared" si="0"/>
        <v>4</v>
      </c>
      <c r="AQ26" s="29"/>
      <c r="AR26" s="21">
        <v>1</v>
      </c>
      <c r="AS26" s="21">
        <v>0</v>
      </c>
      <c r="AT26" s="21">
        <v>1</v>
      </c>
      <c r="AU26" s="21">
        <v>0</v>
      </c>
      <c r="AV26" s="21">
        <v>1</v>
      </c>
      <c r="AW26" s="21">
        <v>1</v>
      </c>
      <c r="AX26" s="21">
        <v>1</v>
      </c>
      <c r="AY26" s="21">
        <v>1</v>
      </c>
      <c r="AZ26" s="21">
        <v>1</v>
      </c>
      <c r="BA26" s="21">
        <f t="shared" si="1"/>
        <v>7</v>
      </c>
      <c r="BB26" s="29"/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f t="shared" si="2"/>
        <v>0</v>
      </c>
      <c r="BI26" s="29"/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f t="shared" si="3"/>
        <v>0</v>
      </c>
      <c r="BP26" s="29"/>
      <c r="BQ26" s="21">
        <v>0</v>
      </c>
      <c r="BR26" s="21">
        <v>1</v>
      </c>
      <c r="BS26" s="21">
        <v>1</v>
      </c>
      <c r="BT26" s="21">
        <v>1</v>
      </c>
      <c r="BU26" s="21">
        <f t="shared" si="4"/>
        <v>2</v>
      </c>
      <c r="BV26" s="21">
        <f t="shared" si="5"/>
        <v>1</v>
      </c>
      <c r="BW26" s="23">
        <f t="shared" si="6"/>
        <v>4</v>
      </c>
      <c r="BX26" s="21">
        <f t="shared" si="7"/>
        <v>7</v>
      </c>
      <c r="BY26" s="23">
        <f t="shared" si="8"/>
        <v>-3</v>
      </c>
      <c r="BZ26" s="21">
        <f t="shared" si="9"/>
        <v>0</v>
      </c>
      <c r="CA26" s="21">
        <f t="shared" si="10"/>
        <v>0</v>
      </c>
      <c r="CB26" s="24">
        <f t="shared" si="11"/>
        <v>1</v>
      </c>
      <c r="CC26" s="25">
        <f t="shared" si="12"/>
        <v>-2</v>
      </c>
      <c r="CD26" s="29"/>
    </row>
    <row r="27" spans="1:82" ht="12" customHeight="1" x14ac:dyDescent="0.25">
      <c r="A27" s="18" t="s">
        <v>459</v>
      </c>
      <c r="B27" s="21" t="s">
        <v>88</v>
      </c>
      <c r="C27" s="32">
        <v>-33505741</v>
      </c>
      <c r="D27" s="28">
        <v>-70624308</v>
      </c>
      <c r="E27" s="21" t="s">
        <v>483</v>
      </c>
      <c r="F27" s="21">
        <v>-33504617</v>
      </c>
      <c r="G27" s="21">
        <v>-70626366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3">
        <f t="shared" si="0"/>
        <v>0</v>
      </c>
      <c r="AQ27" s="29"/>
      <c r="AR27" s="21"/>
      <c r="AS27" s="21"/>
      <c r="AT27" s="21"/>
      <c r="AU27" s="21"/>
      <c r="AV27" s="21"/>
      <c r="AW27" s="21"/>
      <c r="AX27" s="21"/>
      <c r="AY27" s="21"/>
      <c r="AZ27" s="21"/>
      <c r="BA27" s="21">
        <f t="shared" si="1"/>
        <v>0</v>
      </c>
      <c r="BB27" s="29"/>
      <c r="BC27" s="21"/>
      <c r="BD27" s="21"/>
      <c r="BE27" s="21"/>
      <c r="BF27" s="21"/>
      <c r="BG27" s="21"/>
      <c r="BH27" s="21">
        <f t="shared" si="2"/>
        <v>0</v>
      </c>
      <c r="BI27" s="29"/>
      <c r="BJ27" s="21"/>
      <c r="BK27" s="21"/>
      <c r="BL27" s="21"/>
      <c r="BM27" s="21"/>
      <c r="BN27" s="21"/>
      <c r="BO27" s="21">
        <f t="shared" si="3"/>
        <v>0</v>
      </c>
      <c r="BP27" s="29"/>
      <c r="BQ27" s="21"/>
      <c r="BR27" s="21"/>
      <c r="BS27" s="21"/>
      <c r="BT27" s="21"/>
      <c r="BU27" s="21">
        <f t="shared" si="4"/>
        <v>0</v>
      </c>
      <c r="BV27" s="21">
        <f t="shared" si="5"/>
        <v>0</v>
      </c>
      <c r="BW27" s="23">
        <f t="shared" si="6"/>
        <v>0</v>
      </c>
      <c r="BX27" s="21">
        <f t="shared" si="7"/>
        <v>0</v>
      </c>
      <c r="BY27" s="23">
        <f t="shared" si="8"/>
        <v>0</v>
      </c>
      <c r="BZ27" s="21">
        <f t="shared" si="9"/>
        <v>0</v>
      </c>
      <c r="CA27" s="21">
        <f t="shared" si="10"/>
        <v>0</v>
      </c>
      <c r="CB27" s="24">
        <f t="shared" si="11"/>
        <v>0</v>
      </c>
      <c r="CC27" s="25">
        <f t="shared" si="12"/>
        <v>0</v>
      </c>
      <c r="CD27" s="29"/>
    </row>
    <row r="28" spans="1:82" ht="12" customHeight="1" x14ac:dyDescent="0.25">
      <c r="A28" s="18" t="s">
        <v>459</v>
      </c>
      <c r="B28" s="21" t="s">
        <v>88</v>
      </c>
      <c r="C28" s="32">
        <v>-33505741</v>
      </c>
      <c r="D28" s="28">
        <v>-70624308</v>
      </c>
      <c r="E28" s="21" t="s">
        <v>484</v>
      </c>
      <c r="F28" s="21">
        <v>-33503222</v>
      </c>
      <c r="G28" s="21">
        <v>-70626704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3">
        <f t="shared" si="0"/>
        <v>0</v>
      </c>
      <c r="AQ28" s="29"/>
      <c r="AR28" s="21">
        <v>0</v>
      </c>
      <c r="AS28" s="21">
        <v>0</v>
      </c>
      <c r="AT28" s="21">
        <v>1</v>
      </c>
      <c r="AU28" s="21">
        <v>1</v>
      </c>
      <c r="AV28" s="21">
        <v>1</v>
      </c>
      <c r="AW28" s="21">
        <v>1</v>
      </c>
      <c r="AX28" s="21">
        <v>1</v>
      </c>
      <c r="AY28" s="21">
        <v>1</v>
      </c>
      <c r="AZ28" s="21">
        <v>1</v>
      </c>
      <c r="BA28" s="21">
        <f t="shared" si="1"/>
        <v>7</v>
      </c>
      <c r="BB28" s="29"/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f t="shared" si="2"/>
        <v>0</v>
      </c>
      <c r="BI28" s="29"/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f t="shared" si="3"/>
        <v>0</v>
      </c>
      <c r="BP28" s="29"/>
      <c r="BQ28" s="21">
        <v>0</v>
      </c>
      <c r="BR28" s="21">
        <v>0</v>
      </c>
      <c r="BS28" s="21">
        <v>0</v>
      </c>
      <c r="BT28" s="21">
        <v>0</v>
      </c>
      <c r="BU28" s="21">
        <f t="shared" si="4"/>
        <v>0</v>
      </c>
      <c r="BV28" s="21">
        <f t="shared" si="5"/>
        <v>0</v>
      </c>
      <c r="BW28" s="23">
        <f t="shared" si="6"/>
        <v>0</v>
      </c>
      <c r="BX28" s="21">
        <f t="shared" si="7"/>
        <v>7</v>
      </c>
      <c r="BY28" s="23">
        <f t="shared" si="8"/>
        <v>-7</v>
      </c>
      <c r="BZ28" s="21">
        <f t="shared" si="9"/>
        <v>0</v>
      </c>
      <c r="CA28" s="21">
        <f t="shared" si="10"/>
        <v>0</v>
      </c>
      <c r="CB28" s="24">
        <f t="shared" si="11"/>
        <v>0</v>
      </c>
      <c r="CC28" s="25">
        <f t="shared" si="12"/>
        <v>-7</v>
      </c>
      <c r="CD28" s="29"/>
    </row>
    <row r="29" spans="1:82" ht="12" customHeight="1" x14ac:dyDescent="0.25">
      <c r="A29" s="18" t="s">
        <v>459</v>
      </c>
      <c r="B29" s="21" t="s">
        <v>88</v>
      </c>
      <c r="C29" s="32">
        <v>-33505741</v>
      </c>
      <c r="D29" s="28">
        <v>-70624308</v>
      </c>
      <c r="E29" s="21" t="s">
        <v>485</v>
      </c>
      <c r="F29" s="21">
        <v>-33507415</v>
      </c>
      <c r="G29" s="21">
        <v>-70626518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/>
      <c r="AN29" s="21">
        <v>0</v>
      </c>
      <c r="AO29" s="21">
        <v>0</v>
      </c>
      <c r="AP29" s="23">
        <f t="shared" si="0"/>
        <v>0</v>
      </c>
      <c r="AQ29" s="29"/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1</v>
      </c>
      <c r="AY29" s="21">
        <v>1</v>
      </c>
      <c r="AZ29" s="21">
        <v>0</v>
      </c>
      <c r="BA29" s="21">
        <f t="shared" si="1"/>
        <v>2</v>
      </c>
      <c r="BB29" s="29"/>
      <c r="BC29" s="21">
        <v>1</v>
      </c>
      <c r="BD29" s="21">
        <v>1</v>
      </c>
      <c r="BE29" s="21">
        <v>0</v>
      </c>
      <c r="BF29" s="21">
        <v>0</v>
      </c>
      <c r="BG29" s="21">
        <v>0</v>
      </c>
      <c r="BH29" s="21">
        <f t="shared" si="2"/>
        <v>2</v>
      </c>
      <c r="BI29" s="29"/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f t="shared" si="3"/>
        <v>0</v>
      </c>
      <c r="BP29" s="29"/>
      <c r="BQ29" s="21">
        <v>0</v>
      </c>
      <c r="BR29" s="21">
        <v>0</v>
      </c>
      <c r="BS29" s="21">
        <v>0</v>
      </c>
      <c r="BT29" s="21">
        <v>0</v>
      </c>
      <c r="BU29" s="21">
        <f t="shared" si="4"/>
        <v>0</v>
      </c>
      <c r="BV29" s="21">
        <f t="shared" si="5"/>
        <v>0</v>
      </c>
      <c r="BW29" s="23">
        <f t="shared" si="6"/>
        <v>0</v>
      </c>
      <c r="BX29" s="21">
        <f t="shared" si="7"/>
        <v>2</v>
      </c>
      <c r="BY29" s="23">
        <f t="shared" si="8"/>
        <v>-2</v>
      </c>
      <c r="BZ29" s="21">
        <f t="shared" si="9"/>
        <v>2</v>
      </c>
      <c r="CA29" s="21">
        <f t="shared" si="10"/>
        <v>0</v>
      </c>
      <c r="CB29" s="24">
        <f t="shared" si="11"/>
        <v>0</v>
      </c>
      <c r="CC29" s="25">
        <f t="shared" si="12"/>
        <v>0</v>
      </c>
      <c r="CD29" s="29"/>
    </row>
    <row r="30" spans="1:82" ht="12" customHeight="1" x14ac:dyDescent="0.25">
      <c r="A30" s="18" t="s">
        <v>459</v>
      </c>
      <c r="B30" s="21" t="s">
        <v>88</v>
      </c>
      <c r="C30" s="32">
        <v>-33505741</v>
      </c>
      <c r="D30" s="28">
        <v>-70624308</v>
      </c>
      <c r="E30" s="21" t="s">
        <v>486</v>
      </c>
      <c r="F30" s="21">
        <v>-33507415</v>
      </c>
      <c r="G30" s="21">
        <v>-70626518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3">
        <f t="shared" si="0"/>
        <v>0</v>
      </c>
      <c r="AQ30" s="29"/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1</v>
      </c>
      <c r="AX30" s="21">
        <v>1</v>
      </c>
      <c r="AY30" s="21">
        <v>1</v>
      </c>
      <c r="AZ30" s="21">
        <v>0</v>
      </c>
      <c r="BA30" s="21">
        <f t="shared" si="1"/>
        <v>3</v>
      </c>
      <c r="BB30" s="29"/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f t="shared" si="2"/>
        <v>0</v>
      </c>
      <c r="BI30" s="29"/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f t="shared" si="3"/>
        <v>0</v>
      </c>
      <c r="BP30" s="29"/>
      <c r="BQ30" s="21">
        <v>0</v>
      </c>
      <c r="BR30" s="21">
        <v>0</v>
      </c>
      <c r="BS30" s="21">
        <v>0</v>
      </c>
      <c r="BT30" s="21">
        <v>0</v>
      </c>
      <c r="BU30" s="21">
        <f t="shared" si="4"/>
        <v>0</v>
      </c>
      <c r="BV30" s="21">
        <f t="shared" si="5"/>
        <v>0</v>
      </c>
      <c r="BW30" s="23">
        <f t="shared" si="6"/>
        <v>0</v>
      </c>
      <c r="BX30" s="21">
        <f t="shared" si="7"/>
        <v>3</v>
      </c>
      <c r="BY30" s="23">
        <f t="shared" si="8"/>
        <v>-3</v>
      </c>
      <c r="BZ30" s="21">
        <f t="shared" si="9"/>
        <v>0</v>
      </c>
      <c r="CA30" s="21">
        <f t="shared" si="10"/>
        <v>0</v>
      </c>
      <c r="CB30" s="24">
        <f t="shared" si="11"/>
        <v>0</v>
      </c>
      <c r="CC30" s="25">
        <f t="shared" si="12"/>
        <v>-3</v>
      </c>
      <c r="CD30" s="29"/>
    </row>
    <row r="31" spans="1:82" ht="12" customHeight="1" x14ac:dyDescent="0.25">
      <c r="A31" s="18" t="s">
        <v>459</v>
      </c>
      <c r="B31" s="21" t="s">
        <v>487</v>
      </c>
      <c r="C31" s="27">
        <v>-3349342</v>
      </c>
      <c r="D31" s="21">
        <v>-70599707</v>
      </c>
      <c r="E31" s="21" t="s">
        <v>488</v>
      </c>
      <c r="F31" s="27">
        <v>-3349342</v>
      </c>
      <c r="G31" s="21">
        <v>-70599707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3">
        <f t="shared" si="0"/>
        <v>0</v>
      </c>
      <c r="AQ31" s="29"/>
      <c r="AR31" s="21"/>
      <c r="AS31" s="21"/>
      <c r="AT31" s="21"/>
      <c r="AU31" s="21"/>
      <c r="AV31" s="21"/>
      <c r="AW31" s="21"/>
      <c r="AX31" s="21"/>
      <c r="AY31" s="21"/>
      <c r="AZ31" s="21"/>
      <c r="BA31" s="21">
        <f t="shared" si="1"/>
        <v>0</v>
      </c>
      <c r="BB31" s="29"/>
      <c r="BC31" s="21"/>
      <c r="BD31" s="21"/>
      <c r="BE31" s="21"/>
      <c r="BF31" s="21"/>
      <c r="BG31" s="21"/>
      <c r="BH31" s="21">
        <f t="shared" si="2"/>
        <v>0</v>
      </c>
      <c r="BI31" s="29"/>
      <c r="BJ31" s="21"/>
      <c r="BK31" s="21"/>
      <c r="BL31" s="21"/>
      <c r="BM31" s="21"/>
      <c r="BN31" s="21"/>
      <c r="BO31" s="21">
        <f t="shared" si="3"/>
        <v>0</v>
      </c>
      <c r="BP31" s="29"/>
      <c r="BQ31" s="21"/>
      <c r="BR31" s="21"/>
      <c r="BS31" s="21"/>
      <c r="BT31" s="21"/>
      <c r="BU31" s="21">
        <f t="shared" si="4"/>
        <v>0</v>
      </c>
      <c r="BV31" s="21">
        <f t="shared" si="5"/>
        <v>0</v>
      </c>
      <c r="BW31" s="23">
        <f t="shared" si="6"/>
        <v>0</v>
      </c>
      <c r="BX31" s="21">
        <f t="shared" si="7"/>
        <v>0</v>
      </c>
      <c r="BY31" s="23">
        <f t="shared" si="8"/>
        <v>0</v>
      </c>
      <c r="BZ31" s="21">
        <f t="shared" si="9"/>
        <v>0</v>
      </c>
      <c r="CA31" s="21">
        <f t="shared" si="10"/>
        <v>0</v>
      </c>
      <c r="CB31" s="24">
        <f t="shared" si="11"/>
        <v>0</v>
      </c>
      <c r="CC31" s="25">
        <f t="shared" si="12"/>
        <v>0</v>
      </c>
      <c r="CD31" s="29"/>
    </row>
    <row r="32" spans="1:82" ht="12" customHeight="1" x14ac:dyDescent="0.25">
      <c r="A32" s="18" t="s">
        <v>459</v>
      </c>
      <c r="B32" s="21" t="s">
        <v>487</v>
      </c>
      <c r="C32" s="27">
        <v>-33493827</v>
      </c>
      <c r="D32" s="27">
        <v>-70599539</v>
      </c>
      <c r="E32" s="21" t="s">
        <v>489</v>
      </c>
      <c r="F32" s="27">
        <v>-33493827</v>
      </c>
      <c r="G32" s="27">
        <v>-70599539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3">
        <f t="shared" si="0"/>
        <v>0</v>
      </c>
      <c r="AQ32" s="29"/>
      <c r="AR32" s="21"/>
      <c r="AS32" s="21"/>
      <c r="AT32" s="21"/>
      <c r="AU32" s="21"/>
      <c r="AV32" s="21"/>
      <c r="AW32" s="21"/>
      <c r="AX32" s="21"/>
      <c r="AY32" s="21"/>
      <c r="AZ32" s="21"/>
      <c r="BA32" s="21">
        <f t="shared" si="1"/>
        <v>0</v>
      </c>
      <c r="BB32" s="29"/>
      <c r="BC32" s="21"/>
      <c r="BD32" s="21"/>
      <c r="BE32" s="21"/>
      <c r="BF32" s="21"/>
      <c r="BG32" s="21"/>
      <c r="BH32" s="21">
        <f t="shared" si="2"/>
        <v>0</v>
      </c>
      <c r="BI32" s="29"/>
      <c r="BJ32" s="21"/>
      <c r="BK32" s="21"/>
      <c r="BL32" s="21"/>
      <c r="BM32" s="21"/>
      <c r="BN32" s="21"/>
      <c r="BO32" s="21">
        <f t="shared" si="3"/>
        <v>0</v>
      </c>
      <c r="BP32" s="29"/>
      <c r="BQ32" s="21"/>
      <c r="BR32" s="21"/>
      <c r="BS32" s="21"/>
      <c r="BT32" s="21"/>
      <c r="BU32" s="21">
        <f t="shared" si="4"/>
        <v>0</v>
      </c>
      <c r="BV32" s="21">
        <f t="shared" si="5"/>
        <v>0</v>
      </c>
      <c r="BW32" s="23">
        <f t="shared" si="6"/>
        <v>0</v>
      </c>
      <c r="BX32" s="21">
        <f t="shared" si="7"/>
        <v>0</v>
      </c>
      <c r="BY32" s="23">
        <f t="shared" si="8"/>
        <v>0</v>
      </c>
      <c r="BZ32" s="21">
        <f t="shared" si="9"/>
        <v>0</v>
      </c>
      <c r="CA32" s="21">
        <f t="shared" si="10"/>
        <v>0</v>
      </c>
      <c r="CB32" s="24">
        <f t="shared" si="11"/>
        <v>0</v>
      </c>
      <c r="CC32" s="25">
        <f t="shared" si="12"/>
        <v>0</v>
      </c>
      <c r="CD32" s="29"/>
    </row>
    <row r="33" spans="1:82" ht="12" customHeight="1" x14ac:dyDescent="0.25">
      <c r="A33" s="18" t="s">
        <v>459</v>
      </c>
      <c r="B33" s="21" t="s">
        <v>487</v>
      </c>
      <c r="C33" s="27">
        <v>-33495177</v>
      </c>
      <c r="D33" s="21">
        <v>-70599162</v>
      </c>
      <c r="E33" s="21" t="s">
        <v>490</v>
      </c>
      <c r="F33" s="27">
        <v>-33495177</v>
      </c>
      <c r="G33" s="21">
        <v>-70599162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/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1</v>
      </c>
      <c r="AO33" s="21">
        <v>0</v>
      </c>
      <c r="AP33" s="23">
        <f t="shared" si="0"/>
        <v>1</v>
      </c>
      <c r="AQ33" s="29"/>
      <c r="AR33" s="21">
        <v>0</v>
      </c>
      <c r="AS33" s="21">
        <v>0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f t="shared" si="1"/>
        <v>7</v>
      </c>
      <c r="BB33" s="29"/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f t="shared" si="2"/>
        <v>0</v>
      </c>
      <c r="BI33" s="29"/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f t="shared" si="3"/>
        <v>0</v>
      </c>
      <c r="BP33" s="29"/>
      <c r="BQ33" s="21">
        <v>0</v>
      </c>
      <c r="BR33" s="21">
        <v>0</v>
      </c>
      <c r="BS33" s="21">
        <v>1</v>
      </c>
      <c r="BT33" s="21">
        <v>0</v>
      </c>
      <c r="BU33" s="21">
        <f t="shared" si="4"/>
        <v>0</v>
      </c>
      <c r="BV33" s="21">
        <f t="shared" si="5"/>
        <v>1</v>
      </c>
      <c r="BW33" s="23">
        <f t="shared" si="6"/>
        <v>1</v>
      </c>
      <c r="BX33" s="21">
        <f t="shared" si="7"/>
        <v>7</v>
      </c>
      <c r="BY33" s="23">
        <f t="shared" si="8"/>
        <v>-6</v>
      </c>
      <c r="BZ33" s="21">
        <f t="shared" si="9"/>
        <v>0</v>
      </c>
      <c r="CA33" s="21">
        <f t="shared" si="10"/>
        <v>0</v>
      </c>
      <c r="CB33" s="24">
        <f t="shared" si="11"/>
        <v>-1</v>
      </c>
      <c r="CC33" s="25">
        <f t="shared" si="12"/>
        <v>-7</v>
      </c>
      <c r="CD33" s="29"/>
    </row>
    <row r="34" spans="1:82" ht="12" customHeight="1" x14ac:dyDescent="0.25">
      <c r="A34" s="18" t="s">
        <v>459</v>
      </c>
      <c r="B34" s="21" t="s">
        <v>487</v>
      </c>
      <c r="C34" s="27">
        <v>-33496878</v>
      </c>
      <c r="D34" s="21">
        <v>-70598109</v>
      </c>
      <c r="E34" s="21" t="s">
        <v>491</v>
      </c>
      <c r="F34" s="27">
        <v>-33496878</v>
      </c>
      <c r="G34" s="21">
        <v>-70598109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3">
        <f t="shared" si="0"/>
        <v>0</v>
      </c>
      <c r="AQ34" s="29"/>
      <c r="AR34" s="21"/>
      <c r="AS34" s="21"/>
      <c r="AT34" s="21"/>
      <c r="AU34" s="21"/>
      <c r="AV34" s="21"/>
      <c r="AW34" s="21"/>
      <c r="AX34" s="21"/>
      <c r="AY34" s="21"/>
      <c r="AZ34" s="21"/>
      <c r="BA34" s="21">
        <f t="shared" si="1"/>
        <v>0</v>
      </c>
      <c r="BB34" s="29"/>
      <c r="BC34" s="21"/>
      <c r="BD34" s="21"/>
      <c r="BE34" s="21"/>
      <c r="BF34" s="21"/>
      <c r="BG34" s="21"/>
      <c r="BH34" s="21">
        <f t="shared" si="2"/>
        <v>0</v>
      </c>
      <c r="BI34" s="29"/>
      <c r="BJ34" s="21"/>
      <c r="BK34" s="21"/>
      <c r="BL34" s="21"/>
      <c r="BM34" s="21"/>
      <c r="BN34" s="21"/>
      <c r="BO34" s="21">
        <f t="shared" si="3"/>
        <v>0</v>
      </c>
      <c r="BP34" s="29"/>
      <c r="BQ34" s="21"/>
      <c r="BR34" s="21"/>
      <c r="BS34" s="21"/>
      <c r="BT34" s="21"/>
      <c r="BU34" s="21">
        <f t="shared" si="4"/>
        <v>0</v>
      </c>
      <c r="BV34" s="21">
        <f t="shared" si="5"/>
        <v>0</v>
      </c>
      <c r="BW34" s="23">
        <f t="shared" si="6"/>
        <v>0</v>
      </c>
      <c r="BX34" s="21">
        <f t="shared" si="7"/>
        <v>0</v>
      </c>
      <c r="BY34" s="23">
        <f t="shared" si="8"/>
        <v>0</v>
      </c>
      <c r="BZ34" s="21">
        <f t="shared" si="9"/>
        <v>0</v>
      </c>
      <c r="CA34" s="21">
        <f t="shared" si="10"/>
        <v>0</v>
      </c>
      <c r="CB34" s="24">
        <f t="shared" si="11"/>
        <v>0</v>
      </c>
      <c r="CC34" s="25">
        <f t="shared" si="12"/>
        <v>0</v>
      </c>
      <c r="CD34" s="29"/>
    </row>
    <row r="35" spans="1:82" ht="12" customHeight="1" x14ac:dyDescent="0.25">
      <c r="A35" s="18" t="s">
        <v>459</v>
      </c>
      <c r="B35" s="21" t="s">
        <v>487</v>
      </c>
      <c r="C35" s="27">
        <v>-33497655</v>
      </c>
      <c r="D35" s="21">
        <v>-70795343</v>
      </c>
      <c r="E35" s="21" t="s">
        <v>492</v>
      </c>
      <c r="F35" s="27">
        <v>-33497655</v>
      </c>
      <c r="G35" s="21">
        <v>-70795343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3">
        <f t="shared" si="0"/>
        <v>0</v>
      </c>
      <c r="AQ35" s="29"/>
      <c r="AR35" s="21"/>
      <c r="AS35" s="21"/>
      <c r="AT35" s="21"/>
      <c r="AU35" s="21"/>
      <c r="AV35" s="21"/>
      <c r="AW35" s="21"/>
      <c r="AX35" s="21"/>
      <c r="AY35" s="21"/>
      <c r="AZ35" s="21"/>
      <c r="BA35" s="21">
        <f t="shared" si="1"/>
        <v>0</v>
      </c>
      <c r="BB35" s="29"/>
      <c r="BC35" s="21"/>
      <c r="BD35" s="21"/>
      <c r="BE35" s="21"/>
      <c r="BF35" s="21"/>
      <c r="BG35" s="21"/>
      <c r="BH35" s="21">
        <f t="shared" si="2"/>
        <v>0</v>
      </c>
      <c r="BI35" s="29"/>
      <c r="BJ35" s="21"/>
      <c r="BK35" s="21"/>
      <c r="BL35" s="21"/>
      <c r="BM35" s="21"/>
      <c r="BN35" s="21"/>
      <c r="BO35" s="21">
        <f t="shared" si="3"/>
        <v>0</v>
      </c>
      <c r="BP35" s="29"/>
      <c r="BQ35" s="21"/>
      <c r="BR35" s="21"/>
      <c r="BS35" s="21"/>
      <c r="BT35" s="21"/>
      <c r="BU35" s="21">
        <f t="shared" si="4"/>
        <v>0</v>
      </c>
      <c r="BV35" s="21">
        <f t="shared" si="5"/>
        <v>0</v>
      </c>
      <c r="BW35" s="23">
        <f t="shared" si="6"/>
        <v>0</v>
      </c>
      <c r="BX35" s="21">
        <f t="shared" si="7"/>
        <v>0</v>
      </c>
      <c r="BY35" s="23">
        <f t="shared" si="8"/>
        <v>0</v>
      </c>
      <c r="BZ35" s="21">
        <f t="shared" si="9"/>
        <v>0</v>
      </c>
      <c r="CA35" s="21">
        <f t="shared" si="10"/>
        <v>0</v>
      </c>
      <c r="CB35" s="24">
        <f t="shared" si="11"/>
        <v>0</v>
      </c>
      <c r="CC35" s="25">
        <f t="shared" si="12"/>
        <v>0</v>
      </c>
      <c r="CD35" s="29"/>
    </row>
    <row r="36" spans="1:82" ht="12" customHeight="1" x14ac:dyDescent="0.25">
      <c r="A36" s="18" t="s">
        <v>459</v>
      </c>
      <c r="B36" s="34" t="s">
        <v>487</v>
      </c>
      <c r="C36" s="35">
        <v>-33497655</v>
      </c>
      <c r="D36" s="34">
        <v>-70597343</v>
      </c>
      <c r="E36" s="21" t="s">
        <v>493</v>
      </c>
      <c r="F36" s="35">
        <v>-33497655</v>
      </c>
      <c r="G36" s="34">
        <v>-70597343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3">
        <f t="shared" si="0"/>
        <v>0</v>
      </c>
      <c r="AQ36" s="29"/>
      <c r="AR36" s="21"/>
      <c r="AS36" s="21"/>
      <c r="AT36" s="21"/>
      <c r="AU36" s="21"/>
      <c r="AV36" s="21"/>
      <c r="AW36" s="21"/>
      <c r="AX36" s="21"/>
      <c r="AY36" s="21"/>
      <c r="AZ36" s="21"/>
      <c r="BA36" s="21">
        <f t="shared" si="1"/>
        <v>0</v>
      </c>
      <c r="BB36" s="29"/>
      <c r="BC36" s="21"/>
      <c r="BD36" s="21"/>
      <c r="BE36" s="21"/>
      <c r="BF36" s="21"/>
      <c r="BG36" s="21"/>
      <c r="BH36" s="21">
        <f t="shared" si="2"/>
        <v>0</v>
      </c>
      <c r="BI36" s="29"/>
      <c r="BJ36" s="21"/>
      <c r="BK36" s="21"/>
      <c r="BL36" s="21"/>
      <c r="BM36" s="21"/>
      <c r="BN36" s="21"/>
      <c r="BO36" s="21">
        <f t="shared" si="3"/>
        <v>0</v>
      </c>
      <c r="BP36" s="29"/>
      <c r="BQ36" s="21"/>
      <c r="BR36" s="21"/>
      <c r="BS36" s="21"/>
      <c r="BT36" s="21"/>
      <c r="BU36" s="21">
        <f t="shared" si="4"/>
        <v>0</v>
      </c>
      <c r="BV36" s="21">
        <f t="shared" si="5"/>
        <v>0</v>
      </c>
      <c r="BW36" s="23">
        <f t="shared" si="6"/>
        <v>0</v>
      </c>
      <c r="BX36" s="21">
        <f t="shared" si="7"/>
        <v>0</v>
      </c>
      <c r="BY36" s="23">
        <f t="shared" si="8"/>
        <v>0</v>
      </c>
      <c r="BZ36" s="21">
        <f t="shared" si="9"/>
        <v>0</v>
      </c>
      <c r="CA36" s="21">
        <f t="shared" si="10"/>
        <v>0</v>
      </c>
      <c r="CB36" s="24">
        <f t="shared" si="11"/>
        <v>0</v>
      </c>
      <c r="CC36" s="25">
        <f t="shared" si="12"/>
        <v>0</v>
      </c>
      <c r="CD36" s="29"/>
    </row>
    <row r="37" spans="1:82" ht="12" customHeight="1" x14ac:dyDescent="0.25">
      <c r="A37" s="18" t="s">
        <v>459</v>
      </c>
      <c r="B37" s="34" t="s">
        <v>487</v>
      </c>
      <c r="C37" s="35">
        <v>-33497198</v>
      </c>
      <c r="D37" s="34">
        <v>-70509818</v>
      </c>
      <c r="E37" s="21" t="s">
        <v>494</v>
      </c>
      <c r="F37" s="35">
        <v>-33497198</v>
      </c>
      <c r="G37" s="34">
        <v>-70509818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3">
        <f t="shared" si="0"/>
        <v>0</v>
      </c>
      <c r="AQ37" s="29"/>
      <c r="AR37" s="21"/>
      <c r="AS37" s="21"/>
      <c r="AT37" s="21"/>
      <c r="AU37" s="21"/>
      <c r="AV37" s="21"/>
      <c r="AW37" s="21"/>
      <c r="AX37" s="21"/>
      <c r="AY37" s="21"/>
      <c r="AZ37" s="21"/>
      <c r="BA37" s="21">
        <f t="shared" si="1"/>
        <v>0</v>
      </c>
      <c r="BB37" s="29"/>
      <c r="BC37" s="21"/>
      <c r="BD37" s="21"/>
      <c r="BE37" s="21"/>
      <c r="BF37" s="21"/>
      <c r="BG37" s="21"/>
      <c r="BH37" s="21">
        <f t="shared" si="2"/>
        <v>0</v>
      </c>
      <c r="BI37" s="29"/>
      <c r="BJ37" s="21"/>
      <c r="BK37" s="21"/>
      <c r="BL37" s="21"/>
      <c r="BM37" s="21"/>
      <c r="BN37" s="21"/>
      <c r="BO37" s="21">
        <f t="shared" si="3"/>
        <v>0</v>
      </c>
      <c r="BP37" s="29"/>
      <c r="BQ37" s="21"/>
      <c r="BR37" s="21"/>
      <c r="BS37" s="21"/>
      <c r="BT37" s="21"/>
      <c r="BU37" s="21">
        <f t="shared" si="4"/>
        <v>0</v>
      </c>
      <c r="BV37" s="21">
        <f t="shared" si="5"/>
        <v>0</v>
      </c>
      <c r="BW37" s="23">
        <f t="shared" si="6"/>
        <v>0</v>
      </c>
      <c r="BX37" s="21">
        <f t="shared" si="7"/>
        <v>0</v>
      </c>
      <c r="BY37" s="23">
        <f t="shared" si="8"/>
        <v>0</v>
      </c>
      <c r="BZ37" s="21">
        <f t="shared" si="9"/>
        <v>0</v>
      </c>
      <c r="CA37" s="21">
        <f t="shared" si="10"/>
        <v>0</v>
      </c>
      <c r="CB37" s="24">
        <f t="shared" si="11"/>
        <v>0</v>
      </c>
      <c r="CC37" s="25">
        <f t="shared" si="12"/>
        <v>0</v>
      </c>
      <c r="CD37" s="29"/>
    </row>
    <row r="38" spans="1:82" ht="12" customHeight="1" x14ac:dyDescent="0.25">
      <c r="A38" s="18" t="s">
        <v>459</v>
      </c>
      <c r="B38" s="34" t="s">
        <v>487</v>
      </c>
      <c r="C38" s="35">
        <v>-33496838</v>
      </c>
      <c r="D38" s="34">
        <v>-70598189</v>
      </c>
      <c r="E38" s="21" t="s">
        <v>495</v>
      </c>
      <c r="F38" s="35">
        <v>-33496838</v>
      </c>
      <c r="G38" s="34">
        <v>-70598189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1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1</v>
      </c>
      <c r="AO38" s="21">
        <v>0</v>
      </c>
      <c r="AP38" s="23">
        <f t="shared" si="0"/>
        <v>2</v>
      </c>
      <c r="AQ38" s="29"/>
      <c r="AR38" s="21">
        <v>0</v>
      </c>
      <c r="AS38" s="21">
        <v>0</v>
      </c>
      <c r="AT38" s="21">
        <v>1</v>
      </c>
      <c r="AU38" s="21">
        <v>0</v>
      </c>
      <c r="AV38" s="21">
        <v>0</v>
      </c>
      <c r="AW38" s="21">
        <v>1</v>
      </c>
      <c r="AX38" s="21">
        <v>1</v>
      </c>
      <c r="AY38" s="21">
        <v>1</v>
      </c>
      <c r="AZ38" s="21">
        <v>0</v>
      </c>
      <c r="BA38" s="21">
        <f t="shared" si="1"/>
        <v>4</v>
      </c>
      <c r="BB38" s="29"/>
      <c r="BC38" s="21">
        <v>1</v>
      </c>
      <c r="BD38" s="21">
        <v>0</v>
      </c>
      <c r="BE38" s="21">
        <v>0</v>
      </c>
      <c r="BF38" s="21">
        <v>0</v>
      </c>
      <c r="BG38" s="21">
        <v>0</v>
      </c>
      <c r="BH38" s="21">
        <f t="shared" si="2"/>
        <v>1</v>
      </c>
      <c r="BI38" s="29"/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f t="shared" si="3"/>
        <v>0</v>
      </c>
      <c r="BP38" s="29"/>
      <c r="BQ38" s="21">
        <v>0</v>
      </c>
      <c r="BR38" s="21">
        <v>1</v>
      </c>
      <c r="BS38" s="21">
        <v>1</v>
      </c>
      <c r="BT38" s="21">
        <v>0</v>
      </c>
      <c r="BU38" s="21">
        <f t="shared" si="4"/>
        <v>1</v>
      </c>
      <c r="BV38" s="21">
        <f t="shared" si="5"/>
        <v>1</v>
      </c>
      <c r="BW38" s="23">
        <f t="shared" si="6"/>
        <v>2</v>
      </c>
      <c r="BX38" s="21">
        <f t="shared" si="7"/>
        <v>4</v>
      </c>
      <c r="BY38" s="23">
        <f t="shared" si="8"/>
        <v>-2</v>
      </c>
      <c r="BZ38" s="21">
        <f t="shared" si="9"/>
        <v>1</v>
      </c>
      <c r="CA38" s="21">
        <f t="shared" si="10"/>
        <v>0</v>
      </c>
      <c r="CB38" s="24">
        <f t="shared" si="11"/>
        <v>0</v>
      </c>
      <c r="CC38" s="25">
        <f t="shared" si="12"/>
        <v>-1</v>
      </c>
      <c r="CD38" s="29"/>
    </row>
    <row r="39" spans="1:82" ht="12" customHeight="1" x14ac:dyDescent="0.25">
      <c r="A39" s="18" t="s">
        <v>459</v>
      </c>
      <c r="B39" s="34" t="s">
        <v>487</v>
      </c>
      <c r="C39" s="35">
        <v>-33496938</v>
      </c>
      <c r="D39" s="34">
        <v>-70598189</v>
      </c>
      <c r="E39" s="21" t="s">
        <v>496</v>
      </c>
      <c r="F39" s="35">
        <v>-33496938</v>
      </c>
      <c r="G39" s="34">
        <v>-70598189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1</v>
      </c>
      <c r="U39" s="21">
        <v>1</v>
      </c>
      <c r="V39" s="21">
        <v>1</v>
      </c>
      <c r="W39" s="21">
        <v>0</v>
      </c>
      <c r="X39" s="21">
        <v>1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3">
        <f t="shared" si="0"/>
        <v>4</v>
      </c>
      <c r="AQ39" s="29"/>
      <c r="AR39" s="21">
        <v>0</v>
      </c>
      <c r="AS39" s="21">
        <v>0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f t="shared" si="1"/>
        <v>7</v>
      </c>
      <c r="BB39" s="29"/>
      <c r="BC39" s="21">
        <v>1</v>
      </c>
      <c r="BD39" s="21">
        <v>1</v>
      </c>
      <c r="BE39" s="21">
        <v>0</v>
      </c>
      <c r="BF39" s="21">
        <v>0</v>
      </c>
      <c r="BG39" s="21">
        <v>0</v>
      </c>
      <c r="BH39" s="21">
        <f t="shared" si="2"/>
        <v>2</v>
      </c>
      <c r="BI39" s="29"/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f t="shared" si="3"/>
        <v>0</v>
      </c>
      <c r="BP39" s="29"/>
      <c r="BQ39" s="21">
        <v>0</v>
      </c>
      <c r="BR39" s="21">
        <v>1</v>
      </c>
      <c r="BS39" s="21">
        <v>1</v>
      </c>
      <c r="BT39" s="21">
        <v>0</v>
      </c>
      <c r="BU39" s="21">
        <f t="shared" si="4"/>
        <v>1</v>
      </c>
      <c r="BV39" s="21">
        <f t="shared" si="5"/>
        <v>1</v>
      </c>
      <c r="BW39" s="23">
        <f t="shared" si="6"/>
        <v>4</v>
      </c>
      <c r="BX39" s="21">
        <f t="shared" si="7"/>
        <v>7</v>
      </c>
      <c r="BY39" s="23">
        <f t="shared" si="8"/>
        <v>-3</v>
      </c>
      <c r="BZ39" s="21">
        <f t="shared" si="9"/>
        <v>2</v>
      </c>
      <c r="CA39" s="21">
        <f t="shared" si="10"/>
        <v>0</v>
      </c>
      <c r="CB39" s="24">
        <f t="shared" si="11"/>
        <v>0</v>
      </c>
      <c r="CC39" s="25">
        <f t="shared" si="12"/>
        <v>-1</v>
      </c>
      <c r="CD39" s="29"/>
    </row>
    <row r="40" spans="1:82" ht="12" customHeight="1" x14ac:dyDescent="0.25">
      <c r="A40" s="18" t="s">
        <v>459</v>
      </c>
      <c r="B40" s="34" t="s">
        <v>487</v>
      </c>
      <c r="C40" s="35">
        <v>-33496227</v>
      </c>
      <c r="D40" s="34">
        <v>-70598846</v>
      </c>
      <c r="E40" s="21" t="s">
        <v>497</v>
      </c>
      <c r="F40" s="35">
        <v>-33496227</v>
      </c>
      <c r="G40" s="34">
        <v>-70598846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3">
        <f t="shared" si="0"/>
        <v>0</v>
      </c>
      <c r="AQ40" s="29"/>
      <c r="AR40" s="21"/>
      <c r="AS40" s="21"/>
      <c r="AT40" s="21"/>
      <c r="AU40" s="21"/>
      <c r="AV40" s="21"/>
      <c r="AW40" s="21"/>
      <c r="AX40" s="21"/>
      <c r="AY40" s="21"/>
      <c r="AZ40" s="21"/>
      <c r="BA40" s="21">
        <f t="shared" si="1"/>
        <v>0</v>
      </c>
      <c r="BB40" s="29"/>
      <c r="BC40" s="21"/>
      <c r="BD40" s="21"/>
      <c r="BE40" s="21"/>
      <c r="BF40" s="21"/>
      <c r="BG40" s="21"/>
      <c r="BH40" s="21">
        <f t="shared" si="2"/>
        <v>0</v>
      </c>
      <c r="BI40" s="29"/>
      <c r="BJ40" s="21"/>
      <c r="BK40" s="21"/>
      <c r="BL40" s="21"/>
      <c r="BM40" s="21"/>
      <c r="BN40" s="21"/>
      <c r="BO40" s="21">
        <f t="shared" si="3"/>
        <v>0</v>
      </c>
      <c r="BP40" s="29"/>
      <c r="BQ40" s="21"/>
      <c r="BR40" s="21"/>
      <c r="BS40" s="21"/>
      <c r="BT40" s="21"/>
      <c r="BU40" s="21">
        <f t="shared" si="4"/>
        <v>0</v>
      </c>
      <c r="BV40" s="21">
        <f t="shared" si="5"/>
        <v>0</v>
      </c>
      <c r="BW40" s="23">
        <f t="shared" si="6"/>
        <v>0</v>
      </c>
      <c r="BX40" s="21">
        <f t="shared" si="7"/>
        <v>0</v>
      </c>
      <c r="BY40" s="23">
        <f t="shared" si="8"/>
        <v>0</v>
      </c>
      <c r="BZ40" s="21">
        <f t="shared" si="9"/>
        <v>0</v>
      </c>
      <c r="CA40" s="21">
        <f t="shared" si="10"/>
        <v>0</v>
      </c>
      <c r="CB40" s="24">
        <f t="shared" si="11"/>
        <v>0</v>
      </c>
      <c r="CC40" s="25">
        <f t="shared" si="12"/>
        <v>0</v>
      </c>
      <c r="CD40" s="29"/>
    </row>
    <row r="41" spans="1:82" ht="12" customHeight="1" x14ac:dyDescent="0.25">
      <c r="A41" s="18" t="s">
        <v>459</v>
      </c>
      <c r="B41" s="34" t="s">
        <v>487</v>
      </c>
      <c r="C41" s="35">
        <v>-33495608</v>
      </c>
      <c r="D41" s="34">
        <v>-70599071</v>
      </c>
      <c r="E41" s="21" t="s">
        <v>498</v>
      </c>
      <c r="F41" s="35">
        <v>-33495608</v>
      </c>
      <c r="G41" s="34">
        <v>-70599071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1</v>
      </c>
      <c r="W41" s="21">
        <v>0</v>
      </c>
      <c r="X41" s="21">
        <v>1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3">
        <f t="shared" si="0"/>
        <v>2</v>
      </c>
      <c r="AQ41" s="29"/>
      <c r="AR41" s="21">
        <v>0</v>
      </c>
      <c r="AS41" s="21">
        <v>0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1">
        <v>0</v>
      </c>
      <c r="BA41" s="21">
        <f t="shared" si="1"/>
        <v>6</v>
      </c>
      <c r="BB41" s="29"/>
      <c r="BC41" s="21">
        <v>1</v>
      </c>
      <c r="BD41" s="21">
        <v>1</v>
      </c>
      <c r="BE41" s="21">
        <v>0</v>
      </c>
      <c r="BF41" s="21">
        <v>0</v>
      </c>
      <c r="BG41" s="21">
        <v>0</v>
      </c>
      <c r="BH41" s="21">
        <f t="shared" si="2"/>
        <v>2</v>
      </c>
      <c r="BI41" s="29"/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f t="shared" si="3"/>
        <v>0</v>
      </c>
      <c r="BP41" s="29"/>
      <c r="BQ41" s="21">
        <v>0</v>
      </c>
      <c r="BR41" s="21">
        <v>1</v>
      </c>
      <c r="BS41" s="21">
        <v>1</v>
      </c>
      <c r="BT41" s="21">
        <v>0</v>
      </c>
      <c r="BU41" s="21">
        <f t="shared" si="4"/>
        <v>1</v>
      </c>
      <c r="BV41" s="21">
        <f t="shared" si="5"/>
        <v>1</v>
      </c>
      <c r="BW41" s="23">
        <f t="shared" si="6"/>
        <v>2</v>
      </c>
      <c r="BX41" s="21">
        <f t="shared" si="7"/>
        <v>6</v>
      </c>
      <c r="BY41" s="23">
        <f t="shared" si="8"/>
        <v>-4</v>
      </c>
      <c r="BZ41" s="21">
        <f t="shared" si="9"/>
        <v>2</v>
      </c>
      <c r="CA41" s="21">
        <f t="shared" si="10"/>
        <v>0</v>
      </c>
      <c r="CB41" s="24">
        <f t="shared" si="11"/>
        <v>0</v>
      </c>
      <c r="CC41" s="25">
        <f t="shared" si="12"/>
        <v>-2</v>
      </c>
      <c r="CD41" s="29"/>
    </row>
    <row r="42" spans="1:82" ht="12.75" customHeight="1" x14ac:dyDescent="0.25">
      <c r="A42" s="18" t="s">
        <v>459</v>
      </c>
      <c r="B42" s="34" t="s">
        <v>487</v>
      </c>
      <c r="C42" s="35">
        <v>-33493169</v>
      </c>
      <c r="D42" s="34">
        <v>-70599914</v>
      </c>
      <c r="E42" s="21" t="s">
        <v>499</v>
      </c>
      <c r="F42" s="35">
        <v>-33493169</v>
      </c>
      <c r="G42" s="34">
        <v>-70599914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1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3">
        <f t="shared" si="0"/>
        <v>1</v>
      </c>
      <c r="AQ42" s="29"/>
      <c r="AR42" s="21">
        <v>0</v>
      </c>
      <c r="AS42" s="21">
        <v>0</v>
      </c>
      <c r="AT42" s="21">
        <v>1</v>
      </c>
      <c r="AU42" s="21">
        <v>0</v>
      </c>
      <c r="AV42" s="21">
        <v>0</v>
      </c>
      <c r="AW42" s="21">
        <v>0</v>
      </c>
      <c r="AX42" s="21">
        <v>1</v>
      </c>
      <c r="AY42" s="21">
        <v>1</v>
      </c>
      <c r="AZ42" s="21">
        <v>0</v>
      </c>
      <c r="BA42" s="21">
        <f t="shared" si="1"/>
        <v>3</v>
      </c>
      <c r="BB42" s="29"/>
      <c r="BC42" s="21">
        <v>1</v>
      </c>
      <c r="BD42" s="21">
        <v>0</v>
      </c>
      <c r="BE42" s="21">
        <v>0</v>
      </c>
      <c r="BF42" s="21">
        <v>0</v>
      </c>
      <c r="BG42" s="21">
        <v>0</v>
      </c>
      <c r="BH42" s="21">
        <f t="shared" si="2"/>
        <v>1</v>
      </c>
      <c r="BI42" s="29"/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f t="shared" si="3"/>
        <v>0</v>
      </c>
      <c r="BP42" s="29"/>
      <c r="BQ42" s="21">
        <v>0</v>
      </c>
      <c r="BR42" s="21">
        <v>1</v>
      </c>
      <c r="BS42" s="21">
        <v>1</v>
      </c>
      <c r="BT42" s="21">
        <v>0</v>
      </c>
      <c r="BU42" s="21">
        <f t="shared" si="4"/>
        <v>1</v>
      </c>
      <c r="BV42" s="21">
        <f t="shared" si="5"/>
        <v>1</v>
      </c>
      <c r="BW42" s="23">
        <f t="shared" si="6"/>
        <v>1</v>
      </c>
      <c r="BX42" s="21">
        <f t="shared" si="7"/>
        <v>3</v>
      </c>
      <c r="BY42" s="23">
        <f t="shared" si="8"/>
        <v>-2</v>
      </c>
      <c r="BZ42" s="21">
        <f t="shared" si="9"/>
        <v>1</v>
      </c>
      <c r="CA42" s="21">
        <f t="shared" si="10"/>
        <v>0</v>
      </c>
      <c r="CB42" s="24">
        <f t="shared" si="11"/>
        <v>0</v>
      </c>
      <c r="CC42" s="25">
        <f t="shared" si="12"/>
        <v>-1</v>
      </c>
      <c r="CD42" s="29"/>
    </row>
    <row r="43" spans="1:82" ht="15.75" customHeight="1" x14ac:dyDescent="0.25">
      <c r="A43" s="18" t="s">
        <v>459</v>
      </c>
      <c r="B43" s="34" t="s">
        <v>487</v>
      </c>
      <c r="C43" s="35">
        <v>-33492449</v>
      </c>
      <c r="D43" s="34">
        <v>-7059985</v>
      </c>
      <c r="E43" s="21" t="s">
        <v>500</v>
      </c>
      <c r="F43" s="35">
        <v>-33492449</v>
      </c>
      <c r="G43" s="34">
        <v>-7059985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1</v>
      </c>
      <c r="V43" s="21">
        <v>1</v>
      </c>
      <c r="W43" s="21">
        <v>0</v>
      </c>
      <c r="X43" s="21">
        <v>1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3">
        <f t="shared" si="0"/>
        <v>3</v>
      </c>
      <c r="AQ43" s="29"/>
      <c r="AR43" s="21">
        <v>0</v>
      </c>
      <c r="AS43" s="21">
        <v>0</v>
      </c>
      <c r="AT43" s="21">
        <v>1</v>
      </c>
      <c r="AU43" s="21">
        <v>0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f t="shared" si="1"/>
        <v>6</v>
      </c>
      <c r="BB43" s="29"/>
      <c r="BC43" s="21">
        <v>1</v>
      </c>
      <c r="BD43" s="21">
        <v>1</v>
      </c>
      <c r="BE43" s="21">
        <v>1</v>
      </c>
      <c r="BF43" s="21">
        <v>0</v>
      </c>
      <c r="BG43" s="21">
        <v>0</v>
      </c>
      <c r="BH43" s="21">
        <f t="shared" si="2"/>
        <v>3</v>
      </c>
      <c r="BI43" s="29"/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f t="shared" si="3"/>
        <v>0</v>
      </c>
      <c r="BP43" s="29"/>
      <c r="BQ43" s="21">
        <v>0</v>
      </c>
      <c r="BR43" s="21">
        <v>1</v>
      </c>
      <c r="BS43" s="21">
        <v>1</v>
      </c>
      <c r="BT43" s="21">
        <v>0</v>
      </c>
      <c r="BU43" s="21">
        <f t="shared" si="4"/>
        <v>1</v>
      </c>
      <c r="BV43" s="21">
        <f t="shared" si="5"/>
        <v>1</v>
      </c>
      <c r="BW43" s="23">
        <f t="shared" si="6"/>
        <v>3</v>
      </c>
      <c r="BX43" s="21">
        <f t="shared" si="7"/>
        <v>6</v>
      </c>
      <c r="BY43" s="23">
        <f t="shared" si="8"/>
        <v>-3</v>
      </c>
      <c r="BZ43" s="21">
        <f t="shared" si="9"/>
        <v>3</v>
      </c>
      <c r="CA43" s="21">
        <f t="shared" si="10"/>
        <v>0</v>
      </c>
      <c r="CB43" s="24">
        <f t="shared" si="11"/>
        <v>0</v>
      </c>
      <c r="CC43" s="25">
        <f t="shared" si="12"/>
        <v>0</v>
      </c>
      <c r="CD43" s="29"/>
    </row>
    <row r="44" spans="1:82" ht="15.75" customHeight="1" x14ac:dyDescent="0.25">
      <c r="A44" s="18" t="s">
        <v>459</v>
      </c>
      <c r="B44" s="34" t="s">
        <v>487</v>
      </c>
      <c r="C44" s="35">
        <v>-33492449</v>
      </c>
      <c r="D44" s="34">
        <v>-7059985</v>
      </c>
      <c r="E44" s="21" t="s">
        <v>501</v>
      </c>
      <c r="F44" s="35">
        <v>-33492449</v>
      </c>
      <c r="G44" s="34">
        <v>-7059985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3">
        <f t="shared" si="0"/>
        <v>0</v>
      </c>
      <c r="AQ44" s="29"/>
      <c r="AR44" s="21"/>
      <c r="AS44" s="21"/>
      <c r="AT44" s="21"/>
      <c r="AU44" s="21"/>
      <c r="AV44" s="21"/>
      <c r="AW44" s="21"/>
      <c r="AX44" s="21"/>
      <c r="AY44" s="21"/>
      <c r="AZ44" s="21"/>
      <c r="BA44" s="21">
        <f t="shared" si="1"/>
        <v>0</v>
      </c>
      <c r="BB44" s="29"/>
      <c r="BC44" s="21"/>
      <c r="BD44" s="21"/>
      <c r="BE44" s="21"/>
      <c r="BF44" s="21"/>
      <c r="BG44" s="21"/>
      <c r="BH44" s="21">
        <f t="shared" si="2"/>
        <v>0</v>
      </c>
      <c r="BI44" s="29"/>
      <c r="BJ44" s="21"/>
      <c r="BK44" s="21"/>
      <c r="BL44" s="21"/>
      <c r="BM44" s="21"/>
      <c r="BN44" s="21"/>
      <c r="BO44" s="21">
        <f t="shared" si="3"/>
        <v>0</v>
      </c>
      <c r="BP44" s="29"/>
      <c r="BQ44" s="21"/>
      <c r="BR44" s="21"/>
      <c r="BS44" s="21"/>
      <c r="BT44" s="21"/>
      <c r="BU44" s="21">
        <f t="shared" si="4"/>
        <v>0</v>
      </c>
      <c r="BV44" s="21">
        <f t="shared" si="5"/>
        <v>0</v>
      </c>
      <c r="BW44" s="23">
        <f t="shared" si="6"/>
        <v>0</v>
      </c>
      <c r="BX44" s="21">
        <f t="shared" si="7"/>
        <v>0</v>
      </c>
      <c r="BY44" s="23">
        <f t="shared" si="8"/>
        <v>0</v>
      </c>
      <c r="BZ44" s="21">
        <f t="shared" si="9"/>
        <v>0</v>
      </c>
      <c r="CA44" s="21">
        <f t="shared" si="10"/>
        <v>0</v>
      </c>
      <c r="CB44" s="24">
        <f t="shared" si="11"/>
        <v>0</v>
      </c>
      <c r="CC44" s="25">
        <f t="shared" si="12"/>
        <v>0</v>
      </c>
      <c r="CD44" s="29"/>
    </row>
    <row r="45" spans="1:82" ht="15.75" customHeight="1" x14ac:dyDescent="0.25">
      <c r="A45" s="18" t="s">
        <v>459</v>
      </c>
      <c r="B45" s="34" t="s">
        <v>487</v>
      </c>
      <c r="C45" s="35">
        <v>-33493601</v>
      </c>
      <c r="D45" s="34">
        <v>-7060201</v>
      </c>
      <c r="E45" s="21" t="s">
        <v>502</v>
      </c>
      <c r="F45" s="35">
        <v>-33493601</v>
      </c>
      <c r="G45" s="34">
        <v>-7060201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1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3">
        <f t="shared" si="0"/>
        <v>1</v>
      </c>
      <c r="AQ45" s="29"/>
      <c r="AR45" s="21">
        <v>0</v>
      </c>
      <c r="AS45" s="21">
        <v>0</v>
      </c>
      <c r="AT45" s="21">
        <v>1</v>
      </c>
      <c r="AU45" s="21">
        <v>0</v>
      </c>
      <c r="AV45" s="21">
        <v>0</v>
      </c>
      <c r="AW45" s="21">
        <v>1</v>
      </c>
      <c r="AX45" s="21">
        <v>1</v>
      </c>
      <c r="AY45" s="21">
        <v>1</v>
      </c>
      <c r="AZ45" s="21">
        <v>1</v>
      </c>
      <c r="BA45" s="21">
        <f t="shared" si="1"/>
        <v>5</v>
      </c>
      <c r="BB45" s="29"/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f t="shared" si="2"/>
        <v>0</v>
      </c>
      <c r="BI45" s="29"/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f t="shared" si="3"/>
        <v>0</v>
      </c>
      <c r="BP45" s="29"/>
      <c r="BQ45" s="21">
        <v>0</v>
      </c>
      <c r="BR45" s="21">
        <v>1</v>
      </c>
      <c r="BS45" s="21">
        <v>1</v>
      </c>
      <c r="BT45" s="21">
        <v>0</v>
      </c>
      <c r="BU45" s="21">
        <f t="shared" si="4"/>
        <v>1</v>
      </c>
      <c r="BV45" s="21">
        <f t="shared" si="5"/>
        <v>1</v>
      </c>
      <c r="BW45" s="23">
        <f t="shared" si="6"/>
        <v>1</v>
      </c>
      <c r="BX45" s="21">
        <f t="shared" si="7"/>
        <v>5</v>
      </c>
      <c r="BY45" s="23">
        <f t="shared" si="8"/>
        <v>-4</v>
      </c>
      <c r="BZ45" s="21">
        <f t="shared" si="9"/>
        <v>0</v>
      </c>
      <c r="CA45" s="21">
        <f t="shared" si="10"/>
        <v>0</v>
      </c>
      <c r="CB45" s="24">
        <f t="shared" si="11"/>
        <v>0</v>
      </c>
      <c r="CC45" s="25">
        <f t="shared" si="12"/>
        <v>-4</v>
      </c>
      <c r="CD45" s="29"/>
    </row>
    <row r="46" spans="1:82" ht="15.75" customHeight="1" x14ac:dyDescent="0.25">
      <c r="A46" s="18" t="s">
        <v>459</v>
      </c>
      <c r="B46" s="34" t="s">
        <v>503</v>
      </c>
      <c r="C46" s="35">
        <v>-334902</v>
      </c>
      <c r="D46" s="36">
        <v>-70631374</v>
      </c>
      <c r="E46" s="21" t="s">
        <v>504</v>
      </c>
      <c r="F46" s="35">
        <v>-334902</v>
      </c>
      <c r="G46" s="36">
        <v>-70631374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3">
        <f t="shared" si="0"/>
        <v>0</v>
      </c>
      <c r="AQ46" s="29"/>
      <c r="AR46" s="21"/>
      <c r="AS46" s="21"/>
      <c r="AT46" s="21"/>
      <c r="AU46" s="21"/>
      <c r="AV46" s="21"/>
      <c r="AW46" s="21"/>
      <c r="AX46" s="21"/>
      <c r="AY46" s="21"/>
      <c r="AZ46" s="21"/>
      <c r="BA46" s="21">
        <f t="shared" si="1"/>
        <v>0</v>
      </c>
      <c r="BB46" s="29"/>
      <c r="BC46" s="21"/>
      <c r="BD46" s="21"/>
      <c r="BE46" s="21"/>
      <c r="BF46" s="21"/>
      <c r="BG46" s="21"/>
      <c r="BH46" s="21">
        <f t="shared" si="2"/>
        <v>0</v>
      </c>
      <c r="BI46" s="29"/>
      <c r="BJ46" s="21"/>
      <c r="BK46" s="21"/>
      <c r="BL46" s="21"/>
      <c r="BM46" s="21"/>
      <c r="BN46" s="21"/>
      <c r="BO46" s="21">
        <f t="shared" si="3"/>
        <v>0</v>
      </c>
      <c r="BP46" s="29"/>
      <c r="BQ46" s="21"/>
      <c r="BR46" s="21"/>
      <c r="BS46" s="21"/>
      <c r="BT46" s="21"/>
      <c r="BU46" s="21">
        <f t="shared" si="4"/>
        <v>0</v>
      </c>
      <c r="BV46" s="21">
        <f t="shared" si="5"/>
        <v>0</v>
      </c>
      <c r="BW46" s="23">
        <f t="shared" si="6"/>
        <v>0</v>
      </c>
      <c r="BX46" s="21">
        <f t="shared" si="7"/>
        <v>0</v>
      </c>
      <c r="BY46" s="23">
        <f t="shared" si="8"/>
        <v>0</v>
      </c>
      <c r="BZ46" s="21">
        <f t="shared" si="9"/>
        <v>0</v>
      </c>
      <c r="CA46" s="21">
        <f t="shared" si="10"/>
        <v>0</v>
      </c>
      <c r="CB46" s="24">
        <f t="shared" si="11"/>
        <v>0</v>
      </c>
      <c r="CC46" s="25">
        <f t="shared" si="12"/>
        <v>0</v>
      </c>
      <c r="CD46" s="29"/>
    </row>
    <row r="47" spans="1:82" ht="15.75" customHeight="1" x14ac:dyDescent="0.25">
      <c r="A47" s="18" t="s">
        <v>459</v>
      </c>
      <c r="B47" s="34" t="s">
        <v>503</v>
      </c>
      <c r="C47" s="35">
        <v>-33490422</v>
      </c>
      <c r="D47" s="34">
        <v>-70630019</v>
      </c>
      <c r="E47" s="21" t="s">
        <v>505</v>
      </c>
      <c r="F47" s="35">
        <v>-33490422</v>
      </c>
      <c r="G47" s="34">
        <v>-70630019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3">
        <f t="shared" si="0"/>
        <v>0</v>
      </c>
      <c r="AQ47" s="29"/>
      <c r="AR47" s="21"/>
      <c r="AS47" s="21"/>
      <c r="AT47" s="21"/>
      <c r="AU47" s="21"/>
      <c r="AV47" s="21"/>
      <c r="AW47" s="21"/>
      <c r="AX47" s="21"/>
      <c r="AY47" s="21"/>
      <c r="AZ47" s="21"/>
      <c r="BA47" s="21">
        <f t="shared" si="1"/>
        <v>0</v>
      </c>
      <c r="BB47" s="29"/>
      <c r="BC47" s="21"/>
      <c r="BD47" s="21"/>
      <c r="BE47" s="21"/>
      <c r="BF47" s="21"/>
      <c r="BG47" s="21"/>
      <c r="BH47" s="21">
        <f t="shared" si="2"/>
        <v>0</v>
      </c>
      <c r="BI47" s="29"/>
      <c r="BJ47" s="21"/>
      <c r="BK47" s="21"/>
      <c r="BL47" s="21"/>
      <c r="BM47" s="21"/>
      <c r="BN47" s="21"/>
      <c r="BO47" s="21">
        <f t="shared" si="3"/>
        <v>0</v>
      </c>
      <c r="BP47" s="29"/>
      <c r="BQ47" s="21"/>
      <c r="BR47" s="21"/>
      <c r="BS47" s="21"/>
      <c r="BT47" s="21"/>
      <c r="BU47" s="21">
        <f t="shared" si="4"/>
        <v>0</v>
      </c>
      <c r="BV47" s="21">
        <f t="shared" si="5"/>
        <v>0</v>
      </c>
      <c r="BW47" s="23">
        <f t="shared" si="6"/>
        <v>0</v>
      </c>
      <c r="BX47" s="21">
        <f t="shared" si="7"/>
        <v>0</v>
      </c>
      <c r="BY47" s="23">
        <f t="shared" si="8"/>
        <v>0</v>
      </c>
      <c r="BZ47" s="21">
        <f t="shared" si="9"/>
        <v>0</v>
      </c>
      <c r="CA47" s="21">
        <f t="shared" si="10"/>
        <v>0</v>
      </c>
      <c r="CB47" s="24">
        <f t="shared" si="11"/>
        <v>0</v>
      </c>
      <c r="CC47" s="25">
        <f t="shared" si="12"/>
        <v>0</v>
      </c>
      <c r="CD47" s="29"/>
    </row>
    <row r="48" spans="1:82" ht="15.75" customHeight="1" x14ac:dyDescent="0.25">
      <c r="A48" s="18" t="s">
        <v>459</v>
      </c>
      <c r="B48" s="34" t="s">
        <v>503</v>
      </c>
      <c r="C48" s="35">
        <v>-33493467</v>
      </c>
      <c r="D48" s="34">
        <v>-70633344</v>
      </c>
      <c r="E48" s="21" t="s">
        <v>506</v>
      </c>
      <c r="F48" s="35">
        <v>-33493467</v>
      </c>
      <c r="G48" s="34">
        <v>-70633344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1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3">
        <f t="shared" si="0"/>
        <v>1</v>
      </c>
      <c r="AQ48" s="29"/>
      <c r="AR48" s="21">
        <v>0</v>
      </c>
      <c r="AS48" s="21">
        <v>0</v>
      </c>
      <c r="AT48" s="21">
        <v>1</v>
      </c>
      <c r="AU48" s="21">
        <v>0</v>
      </c>
      <c r="AV48" s="21">
        <v>1</v>
      </c>
      <c r="AW48" s="21">
        <v>1</v>
      </c>
      <c r="AX48" s="21">
        <v>1</v>
      </c>
      <c r="AY48" s="21">
        <v>1</v>
      </c>
      <c r="AZ48" s="21">
        <v>1</v>
      </c>
      <c r="BA48" s="21">
        <f t="shared" si="1"/>
        <v>6</v>
      </c>
      <c r="BB48" s="29"/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f t="shared" si="2"/>
        <v>0</v>
      </c>
      <c r="BI48" s="29"/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f t="shared" si="3"/>
        <v>0</v>
      </c>
      <c r="BP48" s="29"/>
      <c r="BQ48" s="21">
        <v>0</v>
      </c>
      <c r="BR48" s="21">
        <v>1</v>
      </c>
      <c r="BS48" s="21">
        <v>1</v>
      </c>
      <c r="BT48" s="21">
        <v>0</v>
      </c>
      <c r="BU48" s="21">
        <f t="shared" si="4"/>
        <v>1</v>
      </c>
      <c r="BV48" s="21">
        <f t="shared" si="5"/>
        <v>1</v>
      </c>
      <c r="BW48" s="23">
        <f t="shared" si="6"/>
        <v>1</v>
      </c>
      <c r="BX48" s="21">
        <f t="shared" si="7"/>
        <v>6</v>
      </c>
      <c r="BY48" s="23">
        <f t="shared" si="8"/>
        <v>-5</v>
      </c>
      <c r="BZ48" s="21">
        <f t="shared" si="9"/>
        <v>0</v>
      </c>
      <c r="CA48" s="21">
        <f t="shared" si="10"/>
        <v>0</v>
      </c>
      <c r="CB48" s="24">
        <f t="shared" si="11"/>
        <v>0</v>
      </c>
      <c r="CC48" s="25">
        <f t="shared" si="12"/>
        <v>-5</v>
      </c>
      <c r="CD48" s="29"/>
    </row>
    <row r="49" spans="1:100" ht="15.75" customHeight="1" x14ac:dyDescent="0.25">
      <c r="A49" s="18" t="s">
        <v>459</v>
      </c>
      <c r="B49" s="34" t="s">
        <v>503</v>
      </c>
      <c r="C49" s="35">
        <v>-33491999</v>
      </c>
      <c r="D49" s="34">
        <v>-70631166</v>
      </c>
      <c r="E49" s="21" t="s">
        <v>507</v>
      </c>
      <c r="F49" s="35">
        <v>-33491999</v>
      </c>
      <c r="G49" s="34">
        <v>-70631166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3">
        <f t="shared" si="0"/>
        <v>0</v>
      </c>
      <c r="AQ49" s="29"/>
      <c r="AR49" s="21"/>
      <c r="AS49" s="21"/>
      <c r="AT49" s="21"/>
      <c r="AU49" s="21"/>
      <c r="AV49" s="21"/>
      <c r="AW49" s="21"/>
      <c r="AX49" s="21"/>
      <c r="AY49" s="21"/>
      <c r="AZ49" s="21"/>
      <c r="BA49" s="21">
        <f t="shared" si="1"/>
        <v>0</v>
      </c>
      <c r="BB49" s="29"/>
      <c r="BC49" s="21"/>
      <c r="BD49" s="21"/>
      <c r="BE49" s="21"/>
      <c r="BF49" s="21"/>
      <c r="BG49" s="21"/>
      <c r="BH49" s="21">
        <f t="shared" si="2"/>
        <v>0</v>
      </c>
      <c r="BI49" s="29"/>
      <c r="BJ49" s="21"/>
      <c r="BK49" s="21"/>
      <c r="BL49" s="21"/>
      <c r="BM49" s="21"/>
      <c r="BN49" s="21"/>
      <c r="BO49" s="21">
        <f t="shared" si="3"/>
        <v>0</v>
      </c>
      <c r="BP49" s="29"/>
      <c r="BQ49" s="21"/>
      <c r="BR49" s="21"/>
      <c r="BS49" s="21"/>
      <c r="BT49" s="21"/>
      <c r="BU49" s="21">
        <f t="shared" si="4"/>
        <v>0</v>
      </c>
      <c r="BV49" s="21">
        <f t="shared" si="5"/>
        <v>0</v>
      </c>
      <c r="BW49" s="23">
        <f t="shared" si="6"/>
        <v>0</v>
      </c>
      <c r="BX49" s="21">
        <f t="shared" si="7"/>
        <v>0</v>
      </c>
      <c r="BY49" s="23">
        <f t="shared" si="8"/>
        <v>0</v>
      </c>
      <c r="BZ49" s="21">
        <f t="shared" si="9"/>
        <v>0</v>
      </c>
      <c r="CA49" s="21">
        <f t="shared" si="10"/>
        <v>0</v>
      </c>
      <c r="CB49" s="24">
        <f t="shared" si="11"/>
        <v>0</v>
      </c>
      <c r="CC49" s="25">
        <f t="shared" si="12"/>
        <v>0</v>
      </c>
      <c r="CD49" s="29"/>
    </row>
    <row r="50" spans="1:100" ht="15.75" customHeight="1" x14ac:dyDescent="0.25">
      <c r="A50" s="18" t="s">
        <v>459</v>
      </c>
      <c r="B50" s="34" t="s">
        <v>503</v>
      </c>
      <c r="C50" s="35">
        <v>-33491397</v>
      </c>
      <c r="D50" s="34">
        <v>-70631108</v>
      </c>
      <c r="E50" s="21" t="s">
        <v>508</v>
      </c>
      <c r="F50" s="35">
        <v>-33491397</v>
      </c>
      <c r="G50" s="34">
        <v>-70631108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3">
        <f t="shared" si="0"/>
        <v>0</v>
      </c>
      <c r="AQ50" s="29"/>
      <c r="AR50" s="21"/>
      <c r="AS50" s="21"/>
      <c r="AT50" s="21"/>
      <c r="AU50" s="21"/>
      <c r="AV50" s="21"/>
      <c r="AW50" s="21"/>
      <c r="AX50" s="21"/>
      <c r="AY50" s="21"/>
      <c r="AZ50" s="21"/>
      <c r="BA50" s="21">
        <f t="shared" si="1"/>
        <v>0</v>
      </c>
      <c r="BB50" s="29"/>
      <c r="BC50" s="21"/>
      <c r="BD50" s="21"/>
      <c r="BE50" s="21"/>
      <c r="BF50" s="21"/>
      <c r="BG50" s="21"/>
      <c r="BH50" s="21">
        <f t="shared" si="2"/>
        <v>0</v>
      </c>
      <c r="BI50" s="29"/>
      <c r="BJ50" s="21"/>
      <c r="BK50" s="21"/>
      <c r="BL50" s="21"/>
      <c r="BM50" s="21"/>
      <c r="BN50" s="21"/>
      <c r="BO50" s="21">
        <f t="shared" si="3"/>
        <v>0</v>
      </c>
      <c r="BP50" s="29"/>
      <c r="BQ50" s="21"/>
      <c r="BR50" s="21"/>
      <c r="BS50" s="21"/>
      <c r="BT50" s="21"/>
      <c r="BU50" s="21">
        <f t="shared" si="4"/>
        <v>0</v>
      </c>
      <c r="BV50" s="21">
        <f t="shared" si="5"/>
        <v>0</v>
      </c>
      <c r="BW50" s="23">
        <f t="shared" si="6"/>
        <v>0</v>
      </c>
      <c r="BX50" s="21">
        <f t="shared" si="7"/>
        <v>0</v>
      </c>
      <c r="BY50" s="23">
        <f t="shared" si="8"/>
        <v>0</v>
      </c>
      <c r="BZ50" s="21">
        <f t="shared" si="9"/>
        <v>0</v>
      </c>
      <c r="CA50" s="21">
        <f t="shared" si="10"/>
        <v>0</v>
      </c>
      <c r="CB50" s="24">
        <f t="shared" si="11"/>
        <v>0</v>
      </c>
      <c r="CC50" s="25">
        <f t="shared" si="12"/>
        <v>0</v>
      </c>
      <c r="CD50" s="29"/>
    </row>
    <row r="51" spans="1:100" ht="15.75" customHeight="1" x14ac:dyDescent="0.25">
      <c r="A51" s="18" t="s">
        <v>459</v>
      </c>
      <c r="B51" s="34" t="s">
        <v>503</v>
      </c>
      <c r="C51" s="35">
        <v>-33491355</v>
      </c>
      <c r="D51" s="34">
        <v>-70635884</v>
      </c>
      <c r="E51" s="21" t="s">
        <v>509</v>
      </c>
      <c r="F51" s="35">
        <v>-33491355</v>
      </c>
      <c r="G51" s="34">
        <v>-70635884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3">
        <f t="shared" si="0"/>
        <v>0</v>
      </c>
      <c r="AQ51" s="29"/>
      <c r="AR51" s="21"/>
      <c r="AS51" s="21"/>
      <c r="AT51" s="21"/>
      <c r="AU51" s="21"/>
      <c r="AV51" s="21"/>
      <c r="AW51" s="21"/>
      <c r="AX51" s="21"/>
      <c r="AY51" s="21"/>
      <c r="AZ51" s="21"/>
      <c r="BA51" s="21">
        <f t="shared" si="1"/>
        <v>0</v>
      </c>
      <c r="BB51" s="29"/>
      <c r="BC51" s="21"/>
      <c r="BD51" s="21"/>
      <c r="BE51" s="21"/>
      <c r="BF51" s="21"/>
      <c r="BG51" s="21"/>
      <c r="BH51" s="21">
        <f t="shared" si="2"/>
        <v>0</v>
      </c>
      <c r="BI51" s="29"/>
      <c r="BJ51" s="21"/>
      <c r="BK51" s="21"/>
      <c r="BL51" s="21"/>
      <c r="BM51" s="21"/>
      <c r="BN51" s="21"/>
      <c r="BO51" s="21">
        <f t="shared" si="3"/>
        <v>0</v>
      </c>
      <c r="BP51" s="29"/>
      <c r="BQ51" s="21"/>
      <c r="BR51" s="21"/>
      <c r="BS51" s="21"/>
      <c r="BT51" s="21"/>
      <c r="BU51" s="21">
        <f t="shared" si="4"/>
        <v>0</v>
      </c>
      <c r="BV51" s="21">
        <f t="shared" si="5"/>
        <v>0</v>
      </c>
      <c r="BW51" s="23">
        <f t="shared" si="6"/>
        <v>0</v>
      </c>
      <c r="BX51" s="21">
        <f t="shared" si="7"/>
        <v>0</v>
      </c>
      <c r="BY51" s="23">
        <f t="shared" si="8"/>
        <v>0</v>
      </c>
      <c r="BZ51" s="21">
        <f t="shared" si="9"/>
        <v>0</v>
      </c>
      <c r="CA51" s="21">
        <f t="shared" si="10"/>
        <v>0</v>
      </c>
      <c r="CB51" s="24">
        <f t="shared" si="11"/>
        <v>0</v>
      </c>
      <c r="CC51" s="25">
        <f t="shared" si="12"/>
        <v>0</v>
      </c>
      <c r="CD51" s="29"/>
    </row>
    <row r="52" spans="1:100" ht="15.75" customHeight="1" x14ac:dyDescent="0.25">
      <c r="A52" s="18" t="s">
        <v>459</v>
      </c>
      <c r="B52" s="21" t="s">
        <v>503</v>
      </c>
      <c r="C52" s="21">
        <v>-33491248</v>
      </c>
      <c r="D52" s="21">
        <v>-70635739</v>
      </c>
      <c r="E52" s="21" t="s">
        <v>510</v>
      </c>
      <c r="F52" s="21">
        <v>-33491248</v>
      </c>
      <c r="G52" s="21">
        <v>-70635739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3">
        <f t="shared" si="0"/>
        <v>0</v>
      </c>
      <c r="AQ52" s="29"/>
      <c r="AR52" s="21"/>
      <c r="AS52" s="21"/>
      <c r="AT52" s="21"/>
      <c r="AU52" s="21"/>
      <c r="AV52" s="21"/>
      <c r="AW52" s="21"/>
      <c r="AX52" s="21"/>
      <c r="AY52" s="21"/>
      <c r="AZ52" s="21"/>
      <c r="BA52" s="21">
        <f t="shared" si="1"/>
        <v>0</v>
      </c>
      <c r="BB52" s="29"/>
      <c r="BC52" s="21"/>
      <c r="BD52" s="21"/>
      <c r="BE52" s="21"/>
      <c r="BF52" s="21"/>
      <c r="BG52" s="21"/>
      <c r="BH52" s="21">
        <f t="shared" si="2"/>
        <v>0</v>
      </c>
      <c r="BI52" s="29"/>
      <c r="BJ52" s="21"/>
      <c r="BK52" s="21"/>
      <c r="BL52" s="21"/>
      <c r="BM52" s="21"/>
      <c r="BN52" s="21"/>
      <c r="BO52" s="21">
        <f t="shared" si="3"/>
        <v>0</v>
      </c>
      <c r="BP52" s="29"/>
      <c r="BQ52" s="21"/>
      <c r="BR52" s="21"/>
      <c r="BS52" s="21"/>
      <c r="BT52" s="21"/>
      <c r="BU52" s="21">
        <f t="shared" si="4"/>
        <v>0</v>
      </c>
      <c r="BV52" s="21">
        <f t="shared" si="5"/>
        <v>0</v>
      </c>
      <c r="BW52" s="23">
        <f t="shared" si="6"/>
        <v>0</v>
      </c>
      <c r="BX52" s="21">
        <f t="shared" si="7"/>
        <v>0</v>
      </c>
      <c r="BY52" s="23">
        <f t="shared" si="8"/>
        <v>0</v>
      </c>
      <c r="BZ52" s="21">
        <f t="shared" si="9"/>
        <v>0</v>
      </c>
      <c r="CA52" s="21">
        <f t="shared" si="10"/>
        <v>0</v>
      </c>
      <c r="CB52" s="24">
        <f t="shared" si="11"/>
        <v>0</v>
      </c>
      <c r="CC52" s="25">
        <f t="shared" si="12"/>
        <v>0</v>
      </c>
      <c r="CD52" s="29"/>
    </row>
    <row r="53" spans="1:100" ht="15.75" customHeight="1" x14ac:dyDescent="0.25">
      <c r="A53" s="18" t="s">
        <v>459</v>
      </c>
      <c r="B53" s="34" t="s">
        <v>503</v>
      </c>
      <c r="C53" s="35">
        <v>-33489794</v>
      </c>
      <c r="D53" s="34">
        <v>-70634779</v>
      </c>
      <c r="E53" s="21" t="s">
        <v>511</v>
      </c>
      <c r="F53" s="35">
        <v>-33489794</v>
      </c>
      <c r="G53" s="34">
        <v>-70634779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3">
        <f t="shared" si="0"/>
        <v>0</v>
      </c>
      <c r="AQ53" s="29"/>
      <c r="AR53" s="21"/>
      <c r="AS53" s="21"/>
      <c r="AT53" s="21"/>
      <c r="AU53" s="21"/>
      <c r="AV53" s="21"/>
      <c r="AW53" s="21"/>
      <c r="AX53" s="21"/>
      <c r="AY53" s="21"/>
      <c r="AZ53" s="21"/>
      <c r="BA53" s="21">
        <f t="shared" si="1"/>
        <v>0</v>
      </c>
      <c r="BB53" s="29"/>
      <c r="BC53" s="21"/>
      <c r="BD53" s="21"/>
      <c r="BE53" s="21"/>
      <c r="BF53" s="21"/>
      <c r="BG53" s="21"/>
      <c r="BH53" s="21">
        <f t="shared" si="2"/>
        <v>0</v>
      </c>
      <c r="BI53" s="29"/>
      <c r="BJ53" s="21"/>
      <c r="BK53" s="21"/>
      <c r="BL53" s="21"/>
      <c r="BM53" s="21"/>
      <c r="BN53" s="21"/>
      <c r="BO53" s="21">
        <f t="shared" si="3"/>
        <v>0</v>
      </c>
      <c r="BP53" s="29"/>
      <c r="BQ53" s="21"/>
      <c r="BR53" s="21"/>
      <c r="BS53" s="21"/>
      <c r="BT53" s="21"/>
      <c r="BU53" s="21">
        <f t="shared" si="4"/>
        <v>0</v>
      </c>
      <c r="BV53" s="21">
        <f t="shared" si="5"/>
        <v>0</v>
      </c>
      <c r="BW53" s="23">
        <f t="shared" si="6"/>
        <v>0</v>
      </c>
      <c r="BX53" s="21">
        <f t="shared" si="7"/>
        <v>0</v>
      </c>
      <c r="BY53" s="23">
        <f t="shared" si="8"/>
        <v>0</v>
      </c>
      <c r="BZ53" s="21">
        <f t="shared" si="9"/>
        <v>0</v>
      </c>
      <c r="CA53" s="21">
        <f t="shared" si="10"/>
        <v>0</v>
      </c>
      <c r="CB53" s="24">
        <f t="shared" si="11"/>
        <v>0</v>
      </c>
      <c r="CC53" s="25">
        <f t="shared" si="12"/>
        <v>0</v>
      </c>
      <c r="CD53" s="29"/>
    </row>
    <row r="54" spans="1:100" ht="15.75" customHeight="1" x14ac:dyDescent="0.25">
      <c r="A54" s="18" t="s">
        <v>459</v>
      </c>
      <c r="B54" s="34" t="s">
        <v>503</v>
      </c>
      <c r="C54" s="35">
        <v>-33486857</v>
      </c>
      <c r="D54" s="34">
        <v>-70632641</v>
      </c>
      <c r="E54" s="21" t="s">
        <v>512</v>
      </c>
      <c r="F54" s="35">
        <v>-33486857</v>
      </c>
      <c r="G54" s="34">
        <v>-70632641</v>
      </c>
      <c r="H54" s="21">
        <v>0</v>
      </c>
      <c r="I54" s="21">
        <v>1</v>
      </c>
      <c r="J54" s="21">
        <v>0</v>
      </c>
      <c r="K54" s="21">
        <v>0</v>
      </c>
      <c r="L54" s="21">
        <v>0</v>
      </c>
      <c r="M54" s="21">
        <v>1</v>
      </c>
      <c r="N54" s="21">
        <v>1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1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1</v>
      </c>
      <c r="AO54" s="21">
        <v>0</v>
      </c>
      <c r="AP54" s="23">
        <f t="shared" si="0"/>
        <v>5</v>
      </c>
      <c r="AQ54" s="29"/>
      <c r="AR54" s="21">
        <v>0</v>
      </c>
      <c r="AS54" s="21">
        <v>0</v>
      </c>
      <c r="AT54" s="21">
        <v>1</v>
      </c>
      <c r="AU54" s="21">
        <v>1</v>
      </c>
      <c r="AV54" s="21">
        <v>1</v>
      </c>
      <c r="AW54" s="21">
        <v>1</v>
      </c>
      <c r="AX54" s="21">
        <v>0</v>
      </c>
      <c r="AY54" s="21">
        <v>1</v>
      </c>
      <c r="AZ54" s="21">
        <v>1</v>
      </c>
      <c r="BA54" s="21">
        <f t="shared" si="1"/>
        <v>6</v>
      </c>
      <c r="BB54" s="29"/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f t="shared" si="2"/>
        <v>0</v>
      </c>
      <c r="BI54" s="29"/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f t="shared" si="3"/>
        <v>0</v>
      </c>
      <c r="BP54" s="29"/>
      <c r="BQ54" s="21">
        <v>0</v>
      </c>
      <c r="BR54" s="21">
        <v>0</v>
      </c>
      <c r="BS54" s="21">
        <v>0</v>
      </c>
      <c r="BT54" s="21">
        <v>0</v>
      </c>
      <c r="BU54" s="21">
        <f t="shared" si="4"/>
        <v>0</v>
      </c>
      <c r="BV54" s="21">
        <f t="shared" si="5"/>
        <v>0</v>
      </c>
      <c r="BW54" s="23">
        <f t="shared" si="6"/>
        <v>5</v>
      </c>
      <c r="BX54" s="21">
        <f t="shared" si="7"/>
        <v>6</v>
      </c>
      <c r="BY54" s="23">
        <f t="shared" si="8"/>
        <v>-1</v>
      </c>
      <c r="BZ54" s="21">
        <f t="shared" si="9"/>
        <v>0</v>
      </c>
      <c r="CA54" s="21">
        <f t="shared" si="10"/>
        <v>0</v>
      </c>
      <c r="CB54" s="24">
        <f t="shared" si="11"/>
        <v>0</v>
      </c>
      <c r="CC54" s="25">
        <f t="shared" si="12"/>
        <v>-1</v>
      </c>
      <c r="CD54" s="29"/>
    </row>
    <row r="55" spans="1:100" ht="15.75" customHeight="1" x14ac:dyDescent="0.25">
      <c r="A55" s="18" t="s">
        <v>513</v>
      </c>
      <c r="B55" s="21" t="s">
        <v>86</v>
      </c>
      <c r="C55" s="21">
        <v>-3353477</v>
      </c>
      <c r="D55" s="21">
        <v>-7061624</v>
      </c>
      <c r="E55" s="21" t="s">
        <v>514</v>
      </c>
      <c r="F55" s="23">
        <v>-33555343</v>
      </c>
      <c r="G55" s="23">
        <v>-70616152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1</v>
      </c>
      <c r="AP55" s="21">
        <f>SUM(H55:AO55)</f>
        <v>1</v>
      </c>
      <c r="AQ55" s="37"/>
      <c r="AR55" s="21">
        <v>1</v>
      </c>
      <c r="AS55" s="21">
        <v>1</v>
      </c>
      <c r="AT55" s="21">
        <v>1</v>
      </c>
      <c r="AU55" s="21">
        <v>1</v>
      </c>
      <c r="AV55" s="21">
        <v>1</v>
      </c>
      <c r="AW55" s="21">
        <v>0</v>
      </c>
      <c r="AX55" s="21">
        <v>0</v>
      </c>
      <c r="AY55" s="21">
        <v>1</v>
      </c>
      <c r="AZ55" s="21">
        <v>1</v>
      </c>
      <c r="BA55" s="21">
        <v>1</v>
      </c>
      <c r="BB55" s="21">
        <v>1</v>
      </c>
      <c r="BC55" s="21">
        <v>1</v>
      </c>
      <c r="BD55" s="21">
        <v>0</v>
      </c>
      <c r="BE55" s="21">
        <f>SUM(AR55:BD55)</f>
        <v>10</v>
      </c>
      <c r="BF55" s="21"/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f>SUM(BG55:BN55)</f>
        <v>0</v>
      </c>
      <c r="BP55" s="37"/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f>SUM(BQ55:BW55)</f>
        <v>0</v>
      </c>
      <c r="BY55" s="21"/>
      <c r="BZ55" s="21">
        <v>0</v>
      </c>
      <c r="CA55" s="21">
        <v>1</v>
      </c>
      <c r="CB55" s="21">
        <v>0</v>
      </c>
      <c r="CC55" s="21">
        <f>SUM(BZ55:CB55)</f>
        <v>1</v>
      </c>
      <c r="CD55" s="37"/>
      <c r="CE55" s="28">
        <f>AP55</f>
        <v>1</v>
      </c>
      <c r="CF55" s="28">
        <f>BE55</f>
        <v>10</v>
      </c>
      <c r="CG55" s="28">
        <f>CE55-CF55</f>
        <v>-9</v>
      </c>
      <c r="CH55" s="28">
        <f>BO55</f>
        <v>0</v>
      </c>
      <c r="CI55" s="28">
        <f>BX55</f>
        <v>0</v>
      </c>
      <c r="CJ55" s="28">
        <f>CC55</f>
        <v>1</v>
      </c>
      <c r="CK55" s="29">
        <f>CG55+CH55+CI55+CJ55</f>
        <v>-8</v>
      </c>
      <c r="CL55" s="29"/>
      <c r="CM55" s="7"/>
      <c r="CN55" s="7"/>
      <c r="CO55" s="7"/>
      <c r="CP55" s="7"/>
      <c r="CQ55" s="7"/>
      <c r="CR55" s="7"/>
      <c r="CS55" s="7"/>
      <c r="CT55" s="7"/>
      <c r="CU55" s="7"/>
      <c r="CV55" s="7"/>
    </row>
    <row r="56" spans="1:100" ht="15.75" customHeight="1" x14ac:dyDescent="0.25">
      <c r="A56" s="18" t="s">
        <v>513</v>
      </c>
      <c r="B56" s="21" t="s">
        <v>86</v>
      </c>
      <c r="C56" s="21">
        <v>-3353477</v>
      </c>
      <c r="D56" s="21">
        <v>-7061624</v>
      </c>
      <c r="E56" s="21" t="s">
        <v>515</v>
      </c>
      <c r="F56" s="23">
        <v>-33537609</v>
      </c>
      <c r="G56" s="23">
        <v>-70618946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1</v>
      </c>
      <c r="AP56" s="21">
        <f t="shared" ref="AP56:AP71" si="13">SUM(H56:AO56)</f>
        <v>1</v>
      </c>
      <c r="AQ56" s="37"/>
      <c r="AR56" s="21">
        <v>0</v>
      </c>
      <c r="AS56" s="21">
        <v>0</v>
      </c>
      <c r="AT56" s="21">
        <v>0</v>
      </c>
      <c r="AU56" s="21">
        <v>0</v>
      </c>
      <c r="AV56" s="21">
        <v>1</v>
      </c>
      <c r="AW56" s="21">
        <v>0</v>
      </c>
      <c r="AX56" s="21">
        <v>0</v>
      </c>
      <c r="AY56" s="21">
        <v>0</v>
      </c>
      <c r="AZ56" s="21">
        <v>1</v>
      </c>
      <c r="BA56" s="21">
        <v>1</v>
      </c>
      <c r="BB56" s="21">
        <v>1</v>
      </c>
      <c r="BC56" s="21">
        <v>0</v>
      </c>
      <c r="BD56" s="21">
        <v>0</v>
      </c>
      <c r="BE56" s="21">
        <f t="shared" ref="BE56:BE71" si="14">SUM(AR56:BD56)</f>
        <v>4</v>
      </c>
      <c r="BF56" s="21"/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f t="shared" ref="BO56:BO71" si="15">SUM(BG56:BN56)</f>
        <v>0</v>
      </c>
      <c r="BP56" s="37"/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f t="shared" ref="BX56:BX71" si="16">SUM(BQ56:BW56)</f>
        <v>0</v>
      </c>
      <c r="BY56" s="21"/>
      <c r="BZ56" s="21">
        <v>0</v>
      </c>
      <c r="CA56" s="21">
        <v>1</v>
      </c>
      <c r="CB56" s="21">
        <v>0</v>
      </c>
      <c r="CC56" s="21">
        <f t="shared" ref="CC56:CC71" si="17">SUM(BZ56:CB56)</f>
        <v>1</v>
      </c>
      <c r="CD56" s="37"/>
      <c r="CE56" s="28">
        <f t="shared" ref="CE56:CE71" si="18">AP56</f>
        <v>1</v>
      </c>
      <c r="CF56" s="28">
        <f t="shared" ref="CF56:CF71" si="19">BE56</f>
        <v>4</v>
      </c>
      <c r="CG56" s="28">
        <f t="shared" ref="CG56:CG71" si="20">CE56-CF56</f>
        <v>-3</v>
      </c>
      <c r="CH56" s="28">
        <f t="shared" ref="CH56:CH71" si="21">BO56</f>
        <v>0</v>
      </c>
      <c r="CI56" s="28">
        <f t="shared" ref="CI56:CI71" si="22">BX56</f>
        <v>0</v>
      </c>
      <c r="CJ56" s="28">
        <f t="shared" ref="CJ56:CJ71" si="23">CC56</f>
        <v>1</v>
      </c>
      <c r="CK56" s="29">
        <f t="shared" ref="CK56:CK71" si="24">CG56+CH56+CI56+CJ56</f>
        <v>-2</v>
      </c>
      <c r="CL56" s="29"/>
      <c r="CM56" s="7"/>
      <c r="CN56" s="7"/>
      <c r="CO56" s="7"/>
      <c r="CP56" s="7"/>
      <c r="CQ56" s="7"/>
      <c r="CR56" s="7"/>
      <c r="CS56" s="7"/>
      <c r="CT56" s="7"/>
      <c r="CU56" s="7"/>
      <c r="CV56" s="7"/>
    </row>
    <row r="57" spans="1:100" ht="15.75" customHeight="1" x14ac:dyDescent="0.25">
      <c r="A57" s="18" t="s">
        <v>513</v>
      </c>
      <c r="B57" s="21" t="s">
        <v>86</v>
      </c>
      <c r="C57" s="21">
        <v>-3353477</v>
      </c>
      <c r="D57" s="21">
        <v>-7061624</v>
      </c>
      <c r="E57" s="21" t="s">
        <v>516</v>
      </c>
      <c r="F57" s="23">
        <v>-33537682</v>
      </c>
      <c r="G57" s="23">
        <v>-70619537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1</v>
      </c>
      <c r="AP57" s="21">
        <f t="shared" si="13"/>
        <v>1</v>
      </c>
      <c r="AQ57" s="37"/>
      <c r="AR57" s="21">
        <v>0</v>
      </c>
      <c r="AS57" s="21">
        <v>0</v>
      </c>
      <c r="AT57" s="21">
        <v>1</v>
      </c>
      <c r="AU57" s="21">
        <v>0</v>
      </c>
      <c r="AV57" s="21">
        <v>1</v>
      </c>
      <c r="AW57" s="21">
        <v>0</v>
      </c>
      <c r="AX57" s="21">
        <v>0</v>
      </c>
      <c r="AY57" s="21">
        <v>1</v>
      </c>
      <c r="AZ57" s="21">
        <v>1</v>
      </c>
      <c r="BA57" s="21">
        <v>1</v>
      </c>
      <c r="BB57" s="21">
        <v>1</v>
      </c>
      <c r="BC57" s="21">
        <v>0</v>
      </c>
      <c r="BD57" s="21">
        <v>0</v>
      </c>
      <c r="BE57" s="21">
        <f t="shared" si="14"/>
        <v>6</v>
      </c>
      <c r="BF57" s="21"/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f t="shared" si="15"/>
        <v>0</v>
      </c>
      <c r="BP57" s="37"/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f t="shared" si="16"/>
        <v>0</v>
      </c>
      <c r="BY57" s="21"/>
      <c r="BZ57" s="21">
        <v>0</v>
      </c>
      <c r="CA57" s="21">
        <v>1</v>
      </c>
      <c r="CB57" s="21">
        <v>0</v>
      </c>
      <c r="CC57" s="21">
        <f t="shared" si="17"/>
        <v>1</v>
      </c>
      <c r="CD57" s="37"/>
      <c r="CE57" s="28">
        <f t="shared" si="18"/>
        <v>1</v>
      </c>
      <c r="CF57" s="28">
        <f t="shared" si="19"/>
        <v>6</v>
      </c>
      <c r="CG57" s="28">
        <f t="shared" si="20"/>
        <v>-5</v>
      </c>
      <c r="CH57" s="28">
        <f t="shared" si="21"/>
        <v>0</v>
      </c>
      <c r="CI57" s="28">
        <f t="shared" si="22"/>
        <v>0</v>
      </c>
      <c r="CJ57" s="28">
        <f t="shared" si="23"/>
        <v>1</v>
      </c>
      <c r="CK57" s="29">
        <f t="shared" si="24"/>
        <v>-4</v>
      </c>
      <c r="CL57" s="29"/>
      <c r="CM57" s="7"/>
      <c r="CN57" s="7"/>
      <c r="CO57" s="7"/>
      <c r="CP57" s="7"/>
      <c r="CQ57" s="7"/>
      <c r="CR57" s="7"/>
      <c r="CS57" s="7"/>
      <c r="CT57" s="7"/>
      <c r="CU57" s="7"/>
      <c r="CV57" s="7"/>
    </row>
    <row r="58" spans="1:100" ht="15.75" customHeight="1" x14ac:dyDescent="0.25">
      <c r="A58" s="18" t="s">
        <v>513</v>
      </c>
      <c r="B58" s="21" t="s">
        <v>517</v>
      </c>
      <c r="C58" s="21">
        <v>-3353159</v>
      </c>
      <c r="D58" s="21">
        <v>-70616405</v>
      </c>
      <c r="E58" s="21" t="s">
        <v>518</v>
      </c>
      <c r="F58" s="21">
        <v>-3353159</v>
      </c>
      <c r="G58" s="21">
        <v>-70616405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>
        <f t="shared" si="13"/>
        <v>0</v>
      </c>
      <c r="AQ58" s="37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>
        <f t="shared" si="14"/>
        <v>0</v>
      </c>
      <c r="BF58" s="21"/>
      <c r="BG58" s="21"/>
      <c r="BH58" s="21"/>
      <c r="BI58" s="21"/>
      <c r="BJ58" s="21"/>
      <c r="BK58" s="21"/>
      <c r="BL58" s="21"/>
      <c r="BM58" s="21"/>
      <c r="BN58" s="21"/>
      <c r="BO58" s="21">
        <f t="shared" si="15"/>
        <v>0</v>
      </c>
      <c r="BP58" s="37"/>
      <c r="BQ58" s="21"/>
      <c r="BR58" s="21"/>
      <c r="BS58" s="21"/>
      <c r="BT58" s="21"/>
      <c r="BU58" s="21"/>
      <c r="BV58" s="21"/>
      <c r="BW58" s="21"/>
      <c r="BX58" s="21">
        <f t="shared" si="16"/>
        <v>0</v>
      </c>
      <c r="BY58" s="21"/>
      <c r="BZ58" s="21"/>
      <c r="CA58" s="21"/>
      <c r="CB58" s="21"/>
      <c r="CC58" s="21">
        <f t="shared" si="17"/>
        <v>0</v>
      </c>
      <c r="CD58" s="37"/>
      <c r="CE58" s="28">
        <f t="shared" si="18"/>
        <v>0</v>
      </c>
      <c r="CF58" s="28">
        <f t="shared" si="19"/>
        <v>0</v>
      </c>
      <c r="CG58" s="28">
        <f t="shared" si="20"/>
        <v>0</v>
      </c>
      <c r="CH58" s="28">
        <f t="shared" si="21"/>
        <v>0</v>
      </c>
      <c r="CI58" s="28">
        <f t="shared" si="22"/>
        <v>0</v>
      </c>
      <c r="CJ58" s="28">
        <f t="shared" si="23"/>
        <v>0</v>
      </c>
      <c r="CK58" s="29">
        <f t="shared" si="24"/>
        <v>0</v>
      </c>
      <c r="CL58" s="29"/>
      <c r="CM58" s="7"/>
      <c r="CN58" s="7"/>
      <c r="CO58" s="7"/>
      <c r="CP58" s="7"/>
      <c r="CQ58" s="7"/>
      <c r="CR58" s="7"/>
      <c r="CS58" s="7"/>
      <c r="CT58" s="7"/>
      <c r="CU58" s="7"/>
      <c r="CV58" s="7"/>
    </row>
    <row r="59" spans="1:100" ht="15.75" customHeight="1" x14ac:dyDescent="0.25">
      <c r="A59" s="18" t="s">
        <v>513</v>
      </c>
      <c r="B59" s="21" t="s">
        <v>85</v>
      </c>
      <c r="C59" s="32">
        <v>-3352980</v>
      </c>
      <c r="D59" s="32">
        <v>-7062310</v>
      </c>
      <c r="E59" s="21" t="s">
        <v>519</v>
      </c>
      <c r="F59" s="23">
        <v>-33532833</v>
      </c>
      <c r="G59" s="23">
        <v>-70622725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1</v>
      </c>
      <c r="AP59" s="21">
        <f t="shared" si="13"/>
        <v>1</v>
      </c>
      <c r="AQ59" s="21"/>
      <c r="AR59" s="21">
        <v>0</v>
      </c>
      <c r="AS59" s="21">
        <v>0</v>
      </c>
      <c r="AT59" s="21">
        <v>0</v>
      </c>
      <c r="AU59" s="21">
        <v>0</v>
      </c>
      <c r="AV59" s="21">
        <v>1</v>
      </c>
      <c r="AW59" s="21">
        <v>1</v>
      </c>
      <c r="AX59" s="21">
        <v>0</v>
      </c>
      <c r="AY59" s="21">
        <v>1</v>
      </c>
      <c r="AZ59" s="21">
        <v>1</v>
      </c>
      <c r="BA59" s="21">
        <v>1</v>
      </c>
      <c r="BB59" s="21">
        <v>1</v>
      </c>
      <c r="BC59" s="21">
        <v>0</v>
      </c>
      <c r="BD59" s="21">
        <v>0</v>
      </c>
      <c r="BE59" s="21">
        <f t="shared" si="14"/>
        <v>6</v>
      </c>
      <c r="BF59" s="21"/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f t="shared" si="15"/>
        <v>0</v>
      </c>
      <c r="BP59" s="21"/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f t="shared" si="16"/>
        <v>0</v>
      </c>
      <c r="BY59" s="21"/>
      <c r="BZ59" s="21">
        <v>0</v>
      </c>
      <c r="CA59" s="21">
        <v>1</v>
      </c>
      <c r="CB59" s="21">
        <v>0</v>
      </c>
      <c r="CC59" s="21">
        <f t="shared" si="17"/>
        <v>1</v>
      </c>
      <c r="CD59" s="37"/>
      <c r="CE59" s="28">
        <f t="shared" si="18"/>
        <v>1</v>
      </c>
      <c r="CF59" s="28">
        <f t="shared" si="19"/>
        <v>6</v>
      </c>
      <c r="CG59" s="28">
        <f t="shared" si="20"/>
        <v>-5</v>
      </c>
      <c r="CH59" s="28">
        <f t="shared" si="21"/>
        <v>0</v>
      </c>
      <c r="CI59" s="28">
        <f t="shared" si="22"/>
        <v>0</v>
      </c>
      <c r="CJ59" s="28">
        <f t="shared" si="23"/>
        <v>1</v>
      </c>
      <c r="CK59" s="29">
        <f t="shared" si="24"/>
        <v>-4</v>
      </c>
      <c r="CL59" s="29"/>
      <c r="CM59" s="7"/>
      <c r="CN59" s="7"/>
      <c r="CO59" s="7"/>
      <c r="CP59" s="7"/>
      <c r="CQ59" s="7"/>
      <c r="CR59" s="7"/>
      <c r="CS59" s="7"/>
      <c r="CT59" s="7"/>
      <c r="CU59" s="7"/>
      <c r="CV59" s="7"/>
    </row>
    <row r="60" spans="1:100" ht="15.75" customHeight="1" x14ac:dyDescent="0.25">
      <c r="A60" s="18" t="s">
        <v>513</v>
      </c>
      <c r="B60" s="38" t="s">
        <v>85</v>
      </c>
      <c r="C60" s="38">
        <v>-33527247</v>
      </c>
      <c r="D60" s="38">
        <v>-70620783</v>
      </c>
      <c r="E60" s="38" t="s">
        <v>520</v>
      </c>
      <c r="F60" s="38">
        <v>-33527247</v>
      </c>
      <c r="G60" s="38">
        <v>-70620783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21"/>
      <c r="AL60" s="21"/>
      <c r="AM60" s="38"/>
      <c r="AN60" s="38"/>
      <c r="AO60" s="38"/>
      <c r="AP60" s="21">
        <f t="shared" si="13"/>
        <v>0</v>
      </c>
      <c r="AQ60" s="38"/>
      <c r="AR60" s="38"/>
      <c r="AS60" s="38"/>
      <c r="AT60" s="38"/>
      <c r="AU60" s="38"/>
      <c r="AV60" s="38"/>
      <c r="AW60" s="38"/>
      <c r="AX60" s="38"/>
      <c r="AY60" s="38"/>
      <c r="AZ60" s="21"/>
      <c r="BA60" s="21"/>
      <c r="BB60" s="38"/>
      <c r="BC60" s="38"/>
      <c r="BD60" s="38"/>
      <c r="BE60" s="21">
        <f t="shared" si="14"/>
        <v>0</v>
      </c>
      <c r="BF60" s="38"/>
      <c r="BG60" s="38"/>
      <c r="BH60" s="38"/>
      <c r="BI60" s="38"/>
      <c r="BJ60" s="28"/>
      <c r="BK60" s="28"/>
      <c r="BL60" s="38"/>
      <c r="BM60" s="38"/>
      <c r="BN60" s="38"/>
      <c r="BO60" s="21">
        <f t="shared" si="15"/>
        <v>0</v>
      </c>
      <c r="BP60" s="38"/>
      <c r="BQ60" s="38"/>
      <c r="BR60" s="38"/>
      <c r="BS60" s="21"/>
      <c r="BT60" s="21"/>
      <c r="BU60" s="38"/>
      <c r="BV60" s="38"/>
      <c r="BW60" s="38"/>
      <c r="BX60" s="21">
        <f t="shared" si="16"/>
        <v>0</v>
      </c>
      <c r="BY60" s="38"/>
      <c r="BZ60" s="39"/>
      <c r="CA60" s="39"/>
      <c r="CB60" s="39"/>
      <c r="CC60" s="21">
        <f t="shared" si="17"/>
        <v>0</v>
      </c>
      <c r="CE60" s="28">
        <f t="shared" si="18"/>
        <v>0</v>
      </c>
      <c r="CF60" s="28">
        <f t="shared" si="19"/>
        <v>0</v>
      </c>
      <c r="CG60" s="28">
        <f t="shared" si="20"/>
        <v>0</v>
      </c>
      <c r="CH60" s="28">
        <f t="shared" si="21"/>
        <v>0</v>
      </c>
      <c r="CI60" s="28">
        <f t="shared" si="22"/>
        <v>0</v>
      </c>
      <c r="CJ60" s="28">
        <f t="shared" si="23"/>
        <v>0</v>
      </c>
      <c r="CK60" s="29">
        <f t="shared" si="24"/>
        <v>0</v>
      </c>
    </row>
    <row r="61" spans="1:100" ht="15.75" customHeight="1" x14ac:dyDescent="0.25">
      <c r="A61" s="18" t="s">
        <v>513</v>
      </c>
      <c r="B61" s="21" t="s">
        <v>84</v>
      </c>
      <c r="C61" s="32">
        <v>-3352762</v>
      </c>
      <c r="D61" s="32">
        <v>-7062166</v>
      </c>
      <c r="E61" s="21" t="s">
        <v>521</v>
      </c>
      <c r="F61" s="23">
        <v>-33529444</v>
      </c>
      <c r="G61" s="23">
        <v>-7062296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1</v>
      </c>
      <c r="AP61" s="21">
        <f t="shared" si="13"/>
        <v>1</v>
      </c>
      <c r="AQ61" s="21"/>
      <c r="AR61" s="21">
        <v>1</v>
      </c>
      <c r="AS61" s="21">
        <v>1</v>
      </c>
      <c r="AT61" s="21">
        <v>0</v>
      </c>
      <c r="AU61" s="21">
        <v>1</v>
      </c>
      <c r="AV61" s="21">
        <v>0</v>
      </c>
      <c r="AW61" s="21">
        <v>0</v>
      </c>
      <c r="AX61" s="21">
        <v>0</v>
      </c>
      <c r="AY61" s="21">
        <v>1</v>
      </c>
      <c r="AZ61" s="21">
        <v>1</v>
      </c>
      <c r="BA61" s="21">
        <v>0</v>
      </c>
      <c r="BB61" s="21">
        <v>0</v>
      </c>
      <c r="BC61" s="21">
        <v>1</v>
      </c>
      <c r="BD61" s="21">
        <v>1</v>
      </c>
      <c r="BE61" s="21">
        <f t="shared" si="14"/>
        <v>7</v>
      </c>
      <c r="BF61" s="21"/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f t="shared" si="15"/>
        <v>0</v>
      </c>
      <c r="BP61" s="21"/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f t="shared" si="16"/>
        <v>0</v>
      </c>
      <c r="BY61" s="21"/>
      <c r="BZ61" s="21">
        <v>0</v>
      </c>
      <c r="CA61" s="21">
        <v>0</v>
      </c>
      <c r="CB61" s="21">
        <v>0</v>
      </c>
      <c r="CC61" s="21">
        <f t="shared" si="17"/>
        <v>0</v>
      </c>
      <c r="CD61" s="37"/>
      <c r="CE61" s="28">
        <f t="shared" si="18"/>
        <v>1</v>
      </c>
      <c r="CF61" s="28">
        <f t="shared" si="19"/>
        <v>7</v>
      </c>
      <c r="CG61" s="28">
        <f t="shared" si="20"/>
        <v>-6</v>
      </c>
      <c r="CH61" s="28">
        <f t="shared" si="21"/>
        <v>0</v>
      </c>
      <c r="CI61" s="28">
        <f t="shared" si="22"/>
        <v>0</v>
      </c>
      <c r="CJ61" s="28">
        <f t="shared" si="23"/>
        <v>0</v>
      </c>
      <c r="CK61" s="29">
        <f t="shared" si="24"/>
        <v>-6</v>
      </c>
      <c r="CL61" s="29"/>
      <c r="CM61" s="7"/>
      <c r="CN61" s="7"/>
      <c r="CO61" s="7"/>
      <c r="CP61" s="7"/>
      <c r="CQ61" s="7"/>
      <c r="CR61" s="7"/>
      <c r="CS61" s="7"/>
      <c r="CT61" s="7"/>
      <c r="CU61" s="7"/>
      <c r="CV61" s="7"/>
    </row>
    <row r="62" spans="1:100" ht="15.75" customHeight="1" x14ac:dyDescent="0.25">
      <c r="A62" s="18" t="s">
        <v>513</v>
      </c>
      <c r="B62" s="21" t="s">
        <v>84</v>
      </c>
      <c r="C62" s="32">
        <v>-3352762</v>
      </c>
      <c r="D62" s="32">
        <v>-7062166</v>
      </c>
      <c r="E62" s="21" t="s">
        <v>522</v>
      </c>
      <c r="F62" s="23">
        <v>-33527618</v>
      </c>
      <c r="G62" s="23">
        <v>-7062439</v>
      </c>
      <c r="H62" s="21">
        <v>1</v>
      </c>
      <c r="I62" s="21">
        <v>0</v>
      </c>
      <c r="J62" s="21">
        <v>0</v>
      </c>
      <c r="K62" s="21">
        <v>0</v>
      </c>
      <c r="L62" s="21">
        <v>1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f t="shared" si="13"/>
        <v>2</v>
      </c>
      <c r="AQ62" s="21"/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f t="shared" si="14"/>
        <v>0</v>
      </c>
      <c r="BF62" s="21"/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f t="shared" si="15"/>
        <v>0</v>
      </c>
      <c r="BP62" s="21"/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f t="shared" si="16"/>
        <v>0</v>
      </c>
      <c r="BY62" s="21"/>
      <c r="BZ62" s="21">
        <v>0</v>
      </c>
      <c r="CA62" s="21">
        <v>0</v>
      </c>
      <c r="CB62" s="21">
        <v>0</v>
      </c>
      <c r="CC62" s="21">
        <f t="shared" si="17"/>
        <v>0</v>
      </c>
      <c r="CD62" s="37"/>
      <c r="CE62" s="28">
        <f t="shared" si="18"/>
        <v>2</v>
      </c>
      <c r="CF62" s="28">
        <f t="shared" si="19"/>
        <v>0</v>
      </c>
      <c r="CG62" s="28">
        <f t="shared" si="20"/>
        <v>2</v>
      </c>
      <c r="CH62" s="28">
        <f t="shared" si="21"/>
        <v>0</v>
      </c>
      <c r="CI62" s="28">
        <f t="shared" si="22"/>
        <v>0</v>
      </c>
      <c r="CJ62" s="28">
        <f t="shared" si="23"/>
        <v>0</v>
      </c>
      <c r="CK62" s="29">
        <f t="shared" si="24"/>
        <v>2</v>
      </c>
      <c r="CL62" s="29"/>
      <c r="CM62" s="7"/>
      <c r="CN62" s="7"/>
      <c r="CO62" s="7"/>
      <c r="CP62" s="7"/>
      <c r="CQ62" s="7"/>
      <c r="CR62" s="7"/>
      <c r="CS62" s="7"/>
      <c r="CT62" s="7"/>
      <c r="CU62" s="7"/>
      <c r="CV62" s="7"/>
    </row>
    <row r="63" spans="1:100" ht="15.75" customHeight="1" x14ac:dyDescent="0.25">
      <c r="A63" s="18" t="s">
        <v>513</v>
      </c>
      <c r="B63" s="21" t="s">
        <v>84</v>
      </c>
      <c r="C63" s="32">
        <v>-3352762</v>
      </c>
      <c r="D63" s="32">
        <v>-7062166</v>
      </c>
      <c r="E63" s="21" t="s">
        <v>523</v>
      </c>
      <c r="F63" s="23">
        <v>-33527247</v>
      </c>
      <c r="G63" s="23">
        <v>-70620783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1</v>
      </c>
      <c r="AP63" s="21">
        <f t="shared" si="13"/>
        <v>1</v>
      </c>
      <c r="AQ63" s="21"/>
      <c r="AR63" s="21">
        <v>0</v>
      </c>
      <c r="AS63" s="21">
        <v>0</v>
      </c>
      <c r="AT63" s="21">
        <v>0</v>
      </c>
      <c r="AU63" s="21">
        <v>0</v>
      </c>
      <c r="AV63" s="21">
        <v>1</v>
      </c>
      <c r="AW63" s="21">
        <v>0</v>
      </c>
      <c r="AX63" s="21">
        <v>0</v>
      </c>
      <c r="AY63" s="21">
        <v>1</v>
      </c>
      <c r="AZ63" s="21">
        <v>1</v>
      </c>
      <c r="BA63" s="21">
        <v>0</v>
      </c>
      <c r="BB63" s="21">
        <v>1</v>
      </c>
      <c r="BC63" s="21">
        <v>0</v>
      </c>
      <c r="BD63" s="21">
        <v>0</v>
      </c>
      <c r="BE63" s="21">
        <f t="shared" si="14"/>
        <v>4</v>
      </c>
      <c r="BF63" s="21"/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f t="shared" si="15"/>
        <v>0</v>
      </c>
      <c r="BP63" s="21"/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f t="shared" si="16"/>
        <v>0</v>
      </c>
      <c r="BY63" s="21"/>
      <c r="BZ63" s="21">
        <v>0</v>
      </c>
      <c r="CA63" s="21">
        <v>1</v>
      </c>
      <c r="CB63" s="21">
        <v>0</v>
      </c>
      <c r="CC63" s="21">
        <f t="shared" si="17"/>
        <v>1</v>
      </c>
      <c r="CD63" s="37"/>
      <c r="CE63" s="28">
        <f t="shared" si="18"/>
        <v>1</v>
      </c>
      <c r="CF63" s="28">
        <f t="shared" si="19"/>
        <v>4</v>
      </c>
      <c r="CG63" s="28">
        <f t="shared" si="20"/>
        <v>-3</v>
      </c>
      <c r="CH63" s="28">
        <f t="shared" si="21"/>
        <v>0</v>
      </c>
      <c r="CI63" s="28">
        <f t="shared" si="22"/>
        <v>0</v>
      </c>
      <c r="CJ63" s="28">
        <f t="shared" si="23"/>
        <v>1</v>
      </c>
      <c r="CK63" s="29">
        <f t="shared" si="24"/>
        <v>-2</v>
      </c>
      <c r="CL63" s="29"/>
      <c r="CM63" s="7"/>
      <c r="CN63" s="7"/>
      <c r="CO63" s="7"/>
      <c r="CP63" s="7"/>
      <c r="CQ63" s="7"/>
      <c r="CR63" s="7"/>
      <c r="CS63" s="7"/>
      <c r="CT63" s="7"/>
      <c r="CU63" s="7"/>
      <c r="CV63" s="7"/>
    </row>
    <row r="64" spans="1:100" ht="15.75" customHeight="1" x14ac:dyDescent="0.25">
      <c r="A64" s="18" t="s">
        <v>513</v>
      </c>
      <c r="B64" s="21" t="s">
        <v>84</v>
      </c>
      <c r="C64" s="32">
        <v>-3352762</v>
      </c>
      <c r="D64" s="32">
        <v>-7062166</v>
      </c>
      <c r="E64" s="21" t="s">
        <v>524</v>
      </c>
      <c r="F64" s="23">
        <v>-33527058</v>
      </c>
      <c r="G64" s="23">
        <v>-70619176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1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1</v>
      </c>
      <c r="AP64" s="21">
        <f t="shared" si="13"/>
        <v>2</v>
      </c>
      <c r="AQ64" s="21"/>
      <c r="AR64" s="21">
        <v>0</v>
      </c>
      <c r="AS64" s="21">
        <v>0</v>
      </c>
      <c r="AT64" s="21">
        <v>0</v>
      </c>
      <c r="AU64" s="21">
        <v>0</v>
      </c>
      <c r="AV64" s="21">
        <v>1</v>
      </c>
      <c r="AW64" s="21">
        <v>0</v>
      </c>
      <c r="AX64" s="21">
        <v>0</v>
      </c>
      <c r="AY64" s="21">
        <v>1</v>
      </c>
      <c r="AZ64" s="21">
        <v>1</v>
      </c>
      <c r="BA64" s="21">
        <v>1</v>
      </c>
      <c r="BB64" s="21">
        <v>1</v>
      </c>
      <c r="BC64" s="21">
        <v>1</v>
      </c>
      <c r="BD64" s="21">
        <v>0</v>
      </c>
      <c r="BE64" s="21">
        <f t="shared" si="14"/>
        <v>6</v>
      </c>
      <c r="BF64" s="21"/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f t="shared" si="15"/>
        <v>0</v>
      </c>
      <c r="BP64" s="21"/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f t="shared" si="16"/>
        <v>0</v>
      </c>
      <c r="BY64" s="21"/>
      <c r="BZ64" s="21">
        <v>0</v>
      </c>
      <c r="CA64" s="21">
        <v>1</v>
      </c>
      <c r="CB64" s="21">
        <v>0</v>
      </c>
      <c r="CC64" s="21">
        <f t="shared" si="17"/>
        <v>1</v>
      </c>
      <c r="CD64" s="37"/>
      <c r="CE64" s="28">
        <f t="shared" si="18"/>
        <v>2</v>
      </c>
      <c r="CF64" s="28">
        <f t="shared" si="19"/>
        <v>6</v>
      </c>
      <c r="CG64" s="28">
        <f t="shared" si="20"/>
        <v>-4</v>
      </c>
      <c r="CH64" s="28">
        <f t="shared" si="21"/>
        <v>0</v>
      </c>
      <c r="CI64" s="28">
        <f t="shared" si="22"/>
        <v>0</v>
      </c>
      <c r="CJ64" s="28">
        <f t="shared" si="23"/>
        <v>1</v>
      </c>
      <c r="CK64" s="29">
        <f t="shared" si="24"/>
        <v>-3</v>
      </c>
      <c r="CL64" s="29"/>
      <c r="CM64" s="7"/>
      <c r="CN64" s="7"/>
      <c r="CO64" s="7"/>
      <c r="CP64" s="7"/>
      <c r="CQ64" s="7"/>
      <c r="CR64" s="7"/>
      <c r="CS64" s="7"/>
      <c r="CT64" s="7"/>
      <c r="CU64" s="7"/>
      <c r="CV64" s="7"/>
    </row>
    <row r="65" spans="1:100" ht="15.75" customHeight="1" x14ac:dyDescent="0.25">
      <c r="A65" s="18" t="s">
        <v>513</v>
      </c>
      <c r="B65" s="21" t="s">
        <v>84</v>
      </c>
      <c r="C65" s="32">
        <v>-3352762</v>
      </c>
      <c r="D65" s="32">
        <v>-7062166</v>
      </c>
      <c r="E65" s="21" t="s">
        <v>525</v>
      </c>
      <c r="F65" s="23">
        <v>-33527103</v>
      </c>
      <c r="G65" s="23">
        <v>-70616977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>
        <f t="shared" si="13"/>
        <v>0</v>
      </c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>
        <f t="shared" si="14"/>
        <v>0</v>
      </c>
      <c r="BF65" s="21"/>
      <c r="BG65" s="21"/>
      <c r="BH65" s="21"/>
      <c r="BI65" s="21"/>
      <c r="BJ65" s="21"/>
      <c r="BK65" s="21"/>
      <c r="BL65" s="21"/>
      <c r="BM65" s="21"/>
      <c r="BN65" s="21"/>
      <c r="BO65" s="21">
        <f t="shared" si="15"/>
        <v>0</v>
      </c>
      <c r="BP65" s="21"/>
      <c r="BQ65" s="21"/>
      <c r="BR65" s="21"/>
      <c r="BS65" s="21"/>
      <c r="BT65" s="21"/>
      <c r="BU65" s="21"/>
      <c r="BV65" s="21"/>
      <c r="BW65" s="21"/>
      <c r="BX65" s="21">
        <f t="shared" si="16"/>
        <v>0</v>
      </c>
      <c r="BY65" s="21"/>
      <c r="BZ65" s="21"/>
      <c r="CA65" s="21"/>
      <c r="CB65" s="21"/>
      <c r="CC65" s="21">
        <f t="shared" si="17"/>
        <v>0</v>
      </c>
      <c r="CD65" s="37"/>
      <c r="CE65" s="28">
        <f t="shared" si="18"/>
        <v>0</v>
      </c>
      <c r="CF65" s="28">
        <f t="shared" si="19"/>
        <v>0</v>
      </c>
      <c r="CG65" s="28">
        <f t="shared" si="20"/>
        <v>0</v>
      </c>
      <c r="CH65" s="28">
        <f t="shared" si="21"/>
        <v>0</v>
      </c>
      <c r="CI65" s="28">
        <f t="shared" si="22"/>
        <v>0</v>
      </c>
      <c r="CJ65" s="28">
        <f t="shared" si="23"/>
        <v>0</v>
      </c>
      <c r="CK65" s="29">
        <f t="shared" si="24"/>
        <v>0</v>
      </c>
      <c r="CL65" s="29"/>
      <c r="CM65" s="7"/>
      <c r="CN65" s="7"/>
      <c r="CO65" s="7"/>
      <c r="CP65" s="7"/>
      <c r="CQ65" s="7"/>
      <c r="CR65" s="7"/>
      <c r="CS65" s="7"/>
      <c r="CT65" s="7"/>
      <c r="CU65" s="7"/>
      <c r="CV65" s="7"/>
    </row>
    <row r="66" spans="1:100" ht="15.75" customHeight="1" x14ac:dyDescent="0.25">
      <c r="A66" s="18" t="s">
        <v>513</v>
      </c>
      <c r="B66" s="38" t="s">
        <v>475</v>
      </c>
      <c r="C66" s="38">
        <v>-33527247</v>
      </c>
      <c r="D66" s="38">
        <v>-70620783</v>
      </c>
      <c r="E66" s="38" t="s">
        <v>520</v>
      </c>
      <c r="F66" s="38">
        <v>-33527247</v>
      </c>
      <c r="G66" s="38">
        <v>-70620783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21"/>
      <c r="AL66" s="21"/>
      <c r="AM66" s="38"/>
      <c r="AN66" s="38"/>
      <c r="AO66" s="38"/>
      <c r="AP66" s="21">
        <f t="shared" si="13"/>
        <v>0</v>
      </c>
      <c r="AQ66" s="38"/>
      <c r="AR66" s="38"/>
      <c r="AS66" s="38"/>
      <c r="AT66" s="38"/>
      <c r="AU66" s="38"/>
      <c r="AV66" s="38"/>
      <c r="AW66" s="38"/>
      <c r="AX66" s="38"/>
      <c r="AY66" s="38"/>
      <c r="AZ66" s="21"/>
      <c r="BA66" s="21"/>
      <c r="BB66" s="38"/>
      <c r="BC66" s="38"/>
      <c r="BD66" s="38"/>
      <c r="BE66" s="21">
        <f t="shared" si="14"/>
        <v>0</v>
      </c>
      <c r="BF66" s="38"/>
      <c r="BG66" s="38"/>
      <c r="BH66" s="38"/>
      <c r="BI66" s="38"/>
      <c r="BJ66" s="28"/>
      <c r="BK66" s="28"/>
      <c r="BL66" s="38"/>
      <c r="BM66" s="38"/>
      <c r="BN66" s="38"/>
      <c r="BO66" s="21">
        <f t="shared" si="15"/>
        <v>0</v>
      </c>
      <c r="BP66" s="38"/>
      <c r="BQ66" s="38"/>
      <c r="BR66" s="38"/>
      <c r="BS66" s="21"/>
      <c r="BT66" s="21"/>
      <c r="BU66" s="38"/>
      <c r="BV66" s="38"/>
      <c r="BW66" s="38"/>
      <c r="BX66" s="21">
        <f t="shared" si="16"/>
        <v>0</v>
      </c>
      <c r="BY66" s="38"/>
      <c r="BZ66" s="39"/>
      <c r="CA66" s="39"/>
      <c r="CB66" s="39"/>
      <c r="CC66" s="21">
        <f t="shared" si="17"/>
        <v>0</v>
      </c>
      <c r="CE66" s="28">
        <f t="shared" si="18"/>
        <v>0</v>
      </c>
      <c r="CF66" s="28">
        <f t="shared" si="19"/>
        <v>0</v>
      </c>
      <c r="CG66" s="28">
        <f t="shared" si="20"/>
        <v>0</v>
      </c>
      <c r="CH66" s="28">
        <f t="shared" si="21"/>
        <v>0</v>
      </c>
      <c r="CI66" s="28">
        <f t="shared" si="22"/>
        <v>0</v>
      </c>
      <c r="CJ66" s="28">
        <f t="shared" si="23"/>
        <v>0</v>
      </c>
      <c r="CK66" s="29">
        <f t="shared" si="24"/>
        <v>0</v>
      </c>
    </row>
    <row r="67" spans="1:100" ht="15.75" customHeight="1" x14ac:dyDescent="0.25">
      <c r="A67" s="18" t="s">
        <v>513</v>
      </c>
      <c r="B67" s="34" t="s">
        <v>503</v>
      </c>
      <c r="C67" s="21"/>
      <c r="D67" s="21"/>
      <c r="E67" s="21" t="s">
        <v>526</v>
      </c>
      <c r="F67" s="21"/>
      <c r="G67" s="21"/>
      <c r="H67" s="21">
        <v>0</v>
      </c>
      <c r="I67" s="21">
        <v>0</v>
      </c>
      <c r="J67" s="21">
        <v>0</v>
      </c>
      <c r="K67" s="21">
        <v>0</v>
      </c>
      <c r="L67" s="21">
        <v>1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1</v>
      </c>
      <c r="AK67" s="21">
        <v>0</v>
      </c>
      <c r="AL67" s="21">
        <v>0</v>
      </c>
      <c r="AM67" s="21">
        <v>0</v>
      </c>
      <c r="AN67" s="21">
        <v>1</v>
      </c>
      <c r="AO67" s="21">
        <v>0</v>
      </c>
      <c r="AP67" s="21">
        <f t="shared" si="13"/>
        <v>3</v>
      </c>
      <c r="AQ67" s="21"/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f t="shared" si="14"/>
        <v>0</v>
      </c>
      <c r="BF67" s="21"/>
      <c r="BG67" s="21">
        <v>0</v>
      </c>
      <c r="BH67" s="21">
        <v>1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f t="shared" si="15"/>
        <v>1</v>
      </c>
      <c r="BP67" s="21"/>
      <c r="BQ67" s="21">
        <v>0</v>
      </c>
      <c r="BR67" s="21">
        <v>0</v>
      </c>
      <c r="BS67" s="21">
        <v>0</v>
      </c>
      <c r="BT67" s="21">
        <v>1</v>
      </c>
      <c r="BU67" s="21">
        <v>0</v>
      </c>
      <c r="BV67" s="21">
        <v>0</v>
      </c>
      <c r="BW67" s="21">
        <v>0</v>
      </c>
      <c r="BX67" s="21">
        <f t="shared" si="16"/>
        <v>1</v>
      </c>
      <c r="BY67" s="21"/>
      <c r="BZ67" s="21">
        <v>0</v>
      </c>
      <c r="CA67" s="21">
        <v>0</v>
      </c>
      <c r="CB67" s="21">
        <v>0</v>
      </c>
      <c r="CC67" s="21">
        <f t="shared" si="17"/>
        <v>0</v>
      </c>
      <c r="CD67" s="37"/>
      <c r="CE67" s="28">
        <f t="shared" si="18"/>
        <v>3</v>
      </c>
      <c r="CF67" s="28">
        <f t="shared" si="19"/>
        <v>0</v>
      </c>
      <c r="CG67" s="28">
        <f t="shared" si="20"/>
        <v>3</v>
      </c>
      <c r="CH67" s="28">
        <f t="shared" si="21"/>
        <v>1</v>
      </c>
      <c r="CI67" s="28">
        <f t="shared" si="22"/>
        <v>1</v>
      </c>
      <c r="CJ67" s="28">
        <f t="shared" si="23"/>
        <v>0</v>
      </c>
      <c r="CK67" s="29">
        <f t="shared" si="24"/>
        <v>5</v>
      </c>
      <c r="CL67" s="29"/>
      <c r="CM67" s="7"/>
      <c r="CN67" s="7"/>
      <c r="CO67" s="7"/>
      <c r="CP67" s="7"/>
      <c r="CQ67" s="7"/>
      <c r="CR67" s="7"/>
      <c r="CS67" s="7"/>
      <c r="CT67" s="7"/>
      <c r="CU67" s="7"/>
      <c r="CV67" s="7"/>
    </row>
    <row r="68" spans="1:100" ht="15.75" customHeight="1" x14ac:dyDescent="0.25">
      <c r="A68" s="18" t="s">
        <v>513</v>
      </c>
      <c r="B68" s="21" t="s">
        <v>503</v>
      </c>
      <c r="C68" s="21">
        <v>-33489957</v>
      </c>
      <c r="D68" s="21">
        <v>-70635749</v>
      </c>
      <c r="E68" s="21" t="s">
        <v>527</v>
      </c>
      <c r="F68" s="21">
        <v>-33489957</v>
      </c>
      <c r="G68" s="21">
        <v>-70635749</v>
      </c>
      <c r="H68" s="21">
        <v>0</v>
      </c>
      <c r="I68" s="21">
        <v>0</v>
      </c>
      <c r="J68" s="21">
        <v>0</v>
      </c>
      <c r="K68" s="21">
        <v>0</v>
      </c>
      <c r="L68" s="21">
        <v>1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1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1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f t="shared" si="13"/>
        <v>3</v>
      </c>
      <c r="AQ68" s="21"/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f t="shared" si="14"/>
        <v>0</v>
      </c>
      <c r="BF68" s="21"/>
      <c r="BG68" s="21">
        <v>0</v>
      </c>
      <c r="BH68" s="21">
        <v>1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f t="shared" si="15"/>
        <v>1</v>
      </c>
      <c r="BP68" s="21"/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f t="shared" si="16"/>
        <v>0</v>
      </c>
      <c r="BY68" s="21"/>
      <c r="BZ68" s="21">
        <v>0</v>
      </c>
      <c r="CA68" s="21">
        <v>0</v>
      </c>
      <c r="CB68" s="21">
        <v>0</v>
      </c>
      <c r="CC68" s="21">
        <f t="shared" si="17"/>
        <v>0</v>
      </c>
      <c r="CD68" s="37"/>
      <c r="CE68" s="28">
        <f t="shared" si="18"/>
        <v>3</v>
      </c>
      <c r="CF68" s="28">
        <f t="shared" si="19"/>
        <v>0</v>
      </c>
      <c r="CG68" s="28">
        <f t="shared" si="20"/>
        <v>3</v>
      </c>
      <c r="CH68" s="28">
        <f t="shared" si="21"/>
        <v>1</v>
      </c>
      <c r="CI68" s="28">
        <f t="shared" si="22"/>
        <v>0</v>
      </c>
      <c r="CJ68" s="28">
        <f t="shared" si="23"/>
        <v>0</v>
      </c>
      <c r="CK68" s="29">
        <f t="shared" si="24"/>
        <v>4</v>
      </c>
      <c r="CL68" s="29"/>
      <c r="CM68" s="7"/>
      <c r="CN68" s="7"/>
      <c r="CO68" s="7"/>
      <c r="CP68" s="7"/>
      <c r="CQ68" s="7"/>
      <c r="CR68" s="7"/>
      <c r="CS68" s="7"/>
      <c r="CT68" s="7"/>
      <c r="CU68" s="7"/>
      <c r="CV68" s="7"/>
    </row>
    <row r="69" spans="1:100" ht="15.75" customHeight="1" x14ac:dyDescent="0.25">
      <c r="A69" s="18" t="s">
        <v>513</v>
      </c>
      <c r="B69" s="21" t="s">
        <v>503</v>
      </c>
      <c r="C69" s="21">
        <v>-33489957</v>
      </c>
      <c r="D69" s="21">
        <v>-70635749</v>
      </c>
      <c r="E69" s="21" t="s">
        <v>528</v>
      </c>
      <c r="F69" s="21">
        <v>-33489957</v>
      </c>
      <c r="G69" s="21">
        <v>-70635749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1</v>
      </c>
      <c r="AP69" s="21">
        <f t="shared" si="13"/>
        <v>1</v>
      </c>
      <c r="AQ69" s="21"/>
      <c r="AR69" s="21">
        <v>0</v>
      </c>
      <c r="AS69" s="21">
        <v>0</v>
      </c>
      <c r="AT69" s="21">
        <v>0</v>
      </c>
      <c r="AU69" s="21">
        <v>0</v>
      </c>
      <c r="AV69" s="21">
        <v>1</v>
      </c>
      <c r="AW69" s="21">
        <v>0</v>
      </c>
      <c r="AX69" s="21">
        <v>0</v>
      </c>
      <c r="AY69" s="21">
        <v>0</v>
      </c>
      <c r="AZ69" s="21">
        <v>1</v>
      </c>
      <c r="BA69" s="21">
        <v>0</v>
      </c>
      <c r="BB69" s="21">
        <v>0</v>
      </c>
      <c r="BC69" s="21">
        <v>1</v>
      </c>
      <c r="BD69" s="21">
        <v>0</v>
      </c>
      <c r="BE69" s="21">
        <f t="shared" si="14"/>
        <v>3</v>
      </c>
      <c r="BF69" s="21"/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f t="shared" si="15"/>
        <v>0</v>
      </c>
      <c r="BP69" s="21"/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f t="shared" si="16"/>
        <v>0</v>
      </c>
      <c r="BY69" s="21"/>
      <c r="BZ69" s="21">
        <v>0</v>
      </c>
      <c r="CA69" s="21">
        <v>1</v>
      </c>
      <c r="CB69" s="21">
        <v>0</v>
      </c>
      <c r="CC69" s="21">
        <f t="shared" si="17"/>
        <v>1</v>
      </c>
      <c r="CD69" s="37"/>
      <c r="CE69" s="28">
        <f t="shared" si="18"/>
        <v>1</v>
      </c>
      <c r="CF69" s="28">
        <f t="shared" si="19"/>
        <v>3</v>
      </c>
      <c r="CG69" s="28">
        <f t="shared" si="20"/>
        <v>-2</v>
      </c>
      <c r="CH69" s="28">
        <f t="shared" si="21"/>
        <v>0</v>
      </c>
      <c r="CI69" s="28">
        <f t="shared" si="22"/>
        <v>0</v>
      </c>
      <c r="CJ69" s="28">
        <f t="shared" si="23"/>
        <v>1</v>
      </c>
      <c r="CK69" s="29">
        <f t="shared" si="24"/>
        <v>-1</v>
      </c>
      <c r="CL69" s="29"/>
      <c r="CM69" s="7"/>
      <c r="CN69" s="7"/>
      <c r="CO69" s="7"/>
      <c r="CP69" s="7"/>
      <c r="CQ69" s="7"/>
      <c r="CR69" s="7"/>
      <c r="CS69" s="7"/>
      <c r="CT69" s="7"/>
      <c r="CU69" s="7"/>
      <c r="CV69" s="7"/>
    </row>
    <row r="70" spans="1:100" ht="15.75" customHeight="1" x14ac:dyDescent="0.25">
      <c r="A70" s="18" t="s">
        <v>513</v>
      </c>
      <c r="B70" s="21" t="s">
        <v>503</v>
      </c>
      <c r="C70" s="21">
        <v>-33488949</v>
      </c>
      <c r="D70" s="21">
        <v>-70632846</v>
      </c>
      <c r="E70" s="21" t="s">
        <v>529</v>
      </c>
      <c r="F70" s="21">
        <v>-33488949</v>
      </c>
      <c r="G70" s="21">
        <v>-70632846</v>
      </c>
      <c r="H70" s="21">
        <v>1</v>
      </c>
      <c r="I70" s="21">
        <v>0</v>
      </c>
      <c r="J70" s="21">
        <v>0</v>
      </c>
      <c r="K70" s="21">
        <v>0</v>
      </c>
      <c r="L70" s="21">
        <v>1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f t="shared" si="13"/>
        <v>2</v>
      </c>
      <c r="AQ70" s="21"/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f t="shared" si="14"/>
        <v>0</v>
      </c>
      <c r="BF70" s="21"/>
      <c r="BG70" s="21">
        <v>1</v>
      </c>
      <c r="BH70" s="21">
        <v>1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f t="shared" si="15"/>
        <v>2</v>
      </c>
      <c r="BP70" s="21"/>
      <c r="BQ70" s="21">
        <v>0</v>
      </c>
      <c r="BR70" s="21">
        <v>0</v>
      </c>
      <c r="BS70" s="21">
        <v>0</v>
      </c>
      <c r="BT70" s="21">
        <v>1</v>
      </c>
      <c r="BU70" s="21">
        <v>0</v>
      </c>
      <c r="BV70" s="21">
        <v>0</v>
      </c>
      <c r="BW70" s="21">
        <v>0</v>
      </c>
      <c r="BX70" s="21">
        <f t="shared" si="16"/>
        <v>1</v>
      </c>
      <c r="BY70" s="21"/>
      <c r="BZ70" s="21">
        <v>0</v>
      </c>
      <c r="CA70" s="21">
        <v>0</v>
      </c>
      <c r="CB70" s="21">
        <v>0</v>
      </c>
      <c r="CC70" s="21">
        <f t="shared" si="17"/>
        <v>0</v>
      </c>
      <c r="CD70" s="37"/>
      <c r="CE70" s="28">
        <f t="shared" si="18"/>
        <v>2</v>
      </c>
      <c r="CF70" s="28">
        <f t="shared" si="19"/>
        <v>0</v>
      </c>
      <c r="CG70" s="28">
        <f t="shared" si="20"/>
        <v>2</v>
      </c>
      <c r="CH70" s="28">
        <f t="shared" si="21"/>
        <v>2</v>
      </c>
      <c r="CI70" s="28">
        <f t="shared" si="22"/>
        <v>1</v>
      </c>
      <c r="CJ70" s="28">
        <f t="shared" si="23"/>
        <v>0</v>
      </c>
      <c r="CK70" s="29">
        <f t="shared" si="24"/>
        <v>5</v>
      </c>
      <c r="CL70" s="29"/>
      <c r="CM70" s="7"/>
      <c r="CN70" s="7"/>
      <c r="CO70" s="7"/>
      <c r="CP70" s="7"/>
      <c r="CQ70" s="7"/>
      <c r="CR70" s="7"/>
      <c r="CS70" s="7"/>
      <c r="CT70" s="7"/>
      <c r="CU70" s="7"/>
      <c r="CV70" s="7"/>
    </row>
    <row r="71" spans="1:100" ht="15.75" customHeight="1" x14ac:dyDescent="0.25">
      <c r="A71" s="18" t="s">
        <v>513</v>
      </c>
      <c r="B71" s="21" t="s">
        <v>503</v>
      </c>
      <c r="C71" s="21">
        <v>-33488399</v>
      </c>
      <c r="D71" s="21">
        <v>-70628119</v>
      </c>
      <c r="E71" s="21" t="s">
        <v>530</v>
      </c>
      <c r="F71" s="21">
        <v>-33488399</v>
      </c>
      <c r="G71" s="21">
        <v>-70628119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f t="shared" si="13"/>
        <v>0</v>
      </c>
      <c r="AQ71" s="21"/>
      <c r="AR71" s="21">
        <v>0</v>
      </c>
      <c r="AS71" s="21">
        <v>1</v>
      </c>
      <c r="AT71" s="21">
        <v>0</v>
      </c>
      <c r="AU71" s="21">
        <v>0</v>
      </c>
      <c r="AV71" s="21">
        <v>1</v>
      </c>
      <c r="AW71" s="21">
        <v>0</v>
      </c>
      <c r="AX71" s="21">
        <v>0</v>
      </c>
      <c r="AY71" s="21">
        <v>0</v>
      </c>
      <c r="AZ71" s="21">
        <v>1</v>
      </c>
      <c r="BA71" s="21">
        <v>0</v>
      </c>
      <c r="BB71" s="21">
        <v>1</v>
      </c>
      <c r="BC71" s="21">
        <v>0</v>
      </c>
      <c r="BD71" s="21">
        <v>0</v>
      </c>
      <c r="BE71" s="21">
        <f t="shared" si="14"/>
        <v>4</v>
      </c>
      <c r="BF71" s="21"/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f t="shared" si="15"/>
        <v>0</v>
      </c>
      <c r="BP71" s="21"/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f t="shared" si="16"/>
        <v>0</v>
      </c>
      <c r="BY71" s="21"/>
      <c r="BZ71" s="21">
        <v>0</v>
      </c>
      <c r="CA71" s="21">
        <v>0</v>
      </c>
      <c r="CB71" s="21">
        <v>0</v>
      </c>
      <c r="CC71" s="21">
        <f t="shared" si="17"/>
        <v>0</v>
      </c>
      <c r="CD71" s="37"/>
      <c r="CE71" s="28">
        <f t="shared" si="18"/>
        <v>0</v>
      </c>
      <c r="CF71" s="28">
        <f t="shared" si="19"/>
        <v>4</v>
      </c>
      <c r="CG71" s="28">
        <f t="shared" si="20"/>
        <v>-4</v>
      </c>
      <c r="CH71" s="28">
        <f t="shared" si="21"/>
        <v>0</v>
      </c>
      <c r="CI71" s="28">
        <f t="shared" si="22"/>
        <v>0</v>
      </c>
      <c r="CJ71" s="28">
        <f t="shared" si="23"/>
        <v>0</v>
      </c>
      <c r="CK71" s="29">
        <f t="shared" si="24"/>
        <v>-4</v>
      </c>
      <c r="CL71" s="29"/>
      <c r="CM71" s="7"/>
      <c r="CN71" s="7"/>
      <c r="CO71" s="7"/>
      <c r="CP71" s="7"/>
      <c r="CQ71" s="7"/>
      <c r="CR71" s="7"/>
      <c r="CS71" s="7"/>
      <c r="CT71" s="7"/>
      <c r="CU71" s="7"/>
      <c r="CV71" s="7"/>
    </row>
    <row r="72" spans="1:100" s="49" customFormat="1" ht="15.75" customHeight="1" x14ac:dyDescent="0.25">
      <c r="A72" s="40" t="s">
        <v>531</v>
      </c>
      <c r="B72" s="41" t="s">
        <v>86</v>
      </c>
      <c r="C72" s="42">
        <v>-3353594</v>
      </c>
      <c r="D72" s="42">
        <v>-70616468</v>
      </c>
      <c r="E72" s="41" t="s">
        <v>532</v>
      </c>
      <c r="F72" s="43">
        <v>-335394</v>
      </c>
      <c r="G72" s="43">
        <v>-70616468</v>
      </c>
      <c r="H72" s="43" t="s">
        <v>94</v>
      </c>
      <c r="I72" s="41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5"/>
      <c r="AI72" s="45"/>
      <c r="AJ72" s="45"/>
      <c r="AK72" s="46">
        <f>SUM(I72:AJ72)</f>
        <v>0</v>
      </c>
      <c r="AL72" s="46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6">
        <f>SUM(AM72:AY72)</f>
        <v>0</v>
      </c>
      <c r="BA72" s="46"/>
      <c r="BB72" s="41"/>
      <c r="BC72" s="41"/>
      <c r="BD72" s="41"/>
      <c r="BE72" s="41"/>
      <c r="BF72" s="41"/>
      <c r="BG72" s="41"/>
      <c r="BH72" s="41"/>
      <c r="BI72" s="41"/>
      <c r="BJ72" s="46">
        <f>SUM(BB72:BI72)</f>
        <v>0</v>
      </c>
      <c r="BK72" s="46"/>
      <c r="BL72" s="41"/>
      <c r="BM72" s="41"/>
      <c r="BN72" s="41"/>
      <c r="BO72" s="41"/>
      <c r="BP72" s="41"/>
      <c r="BQ72" s="41"/>
      <c r="BR72" s="41"/>
      <c r="BS72" s="47">
        <f>SUM(BL72:BR72)</f>
        <v>0</v>
      </c>
      <c r="BT72" s="47"/>
      <c r="BU72" s="44">
        <f>AK72</f>
        <v>0</v>
      </c>
      <c r="BV72" s="44">
        <f>AZ72</f>
        <v>0</v>
      </c>
      <c r="BW72" s="44">
        <f>BU72+BV72</f>
        <v>0</v>
      </c>
      <c r="BX72" s="44">
        <f>BJ72</f>
        <v>0</v>
      </c>
      <c r="BY72" s="44">
        <f>BS72</f>
        <v>0</v>
      </c>
      <c r="BZ72" s="44"/>
      <c r="CA72" s="44">
        <f>BW72+BX72+BY72</f>
        <v>0</v>
      </c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</row>
    <row r="73" spans="1:100" s="49" customFormat="1" ht="15.75" customHeight="1" x14ac:dyDescent="0.25">
      <c r="A73" s="40" t="s">
        <v>531</v>
      </c>
      <c r="B73" s="41" t="s">
        <v>86</v>
      </c>
      <c r="C73" s="42">
        <v>-3353549</v>
      </c>
      <c r="D73" s="42">
        <v>-70616468</v>
      </c>
      <c r="E73" s="41" t="s">
        <v>533</v>
      </c>
      <c r="F73" s="42">
        <v>-3353549</v>
      </c>
      <c r="G73" s="42">
        <v>-70616468</v>
      </c>
      <c r="H73" s="43" t="s">
        <v>94</v>
      </c>
      <c r="I73" s="41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5"/>
      <c r="AI73" s="45"/>
      <c r="AJ73" s="45"/>
      <c r="AK73" s="46">
        <f t="shared" ref="AK73:AK136" si="25">SUM(I73:AJ73)</f>
        <v>0</v>
      </c>
      <c r="AL73" s="46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6">
        <f t="shared" ref="AZ73:AZ136" si="26">SUM(AM73:AY73)</f>
        <v>0</v>
      </c>
      <c r="BA73" s="46"/>
      <c r="BB73" s="41"/>
      <c r="BC73" s="41"/>
      <c r="BD73" s="41"/>
      <c r="BE73" s="41"/>
      <c r="BF73" s="41"/>
      <c r="BG73" s="41"/>
      <c r="BH73" s="41"/>
      <c r="BI73" s="41"/>
      <c r="BJ73" s="46">
        <f t="shared" ref="BJ73:BJ136" si="27">SUM(BB73:BI73)</f>
        <v>0</v>
      </c>
      <c r="BK73" s="46"/>
      <c r="BL73" s="41"/>
      <c r="BM73" s="41"/>
      <c r="BN73" s="41"/>
      <c r="BO73" s="41"/>
      <c r="BP73" s="41"/>
      <c r="BQ73" s="41"/>
      <c r="BR73" s="41"/>
      <c r="BS73" s="47">
        <f t="shared" ref="BS73:BS136" si="28">SUM(BL73:BR73)</f>
        <v>0</v>
      </c>
      <c r="BT73" s="47"/>
      <c r="BU73" s="44">
        <f t="shared" ref="BU73:BU136" si="29">AK73</f>
        <v>0</v>
      </c>
      <c r="BV73" s="44">
        <f t="shared" ref="BV73:BV136" si="30">AZ73</f>
        <v>0</v>
      </c>
      <c r="BW73" s="44">
        <f t="shared" ref="BW73:BW136" si="31">BU73+BV73</f>
        <v>0</v>
      </c>
      <c r="BX73" s="44">
        <f t="shared" ref="BX73:BX136" si="32">BJ73</f>
        <v>0</v>
      </c>
      <c r="BY73" s="44">
        <f t="shared" ref="BY73:BY136" si="33">BS73</f>
        <v>0</v>
      </c>
      <c r="BZ73" s="44"/>
      <c r="CA73" s="44">
        <f t="shared" ref="CA73:CA136" si="34">BW73+BX73+BY73</f>
        <v>0</v>
      </c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</row>
    <row r="74" spans="1:100" s="49" customFormat="1" ht="15.75" customHeight="1" x14ac:dyDescent="0.25">
      <c r="A74" s="40" t="s">
        <v>531</v>
      </c>
      <c r="B74" s="41" t="s">
        <v>86</v>
      </c>
      <c r="C74" s="42">
        <v>-33536282</v>
      </c>
      <c r="D74" s="42">
        <v>-70616362</v>
      </c>
      <c r="E74" s="41" t="s">
        <v>534</v>
      </c>
      <c r="F74" s="42">
        <v>-33536282</v>
      </c>
      <c r="G74" s="42">
        <v>-70616362</v>
      </c>
      <c r="H74" s="43" t="s">
        <v>94</v>
      </c>
      <c r="I74" s="41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5"/>
      <c r="AI74" s="45"/>
      <c r="AJ74" s="45"/>
      <c r="AK74" s="46">
        <f t="shared" si="25"/>
        <v>0</v>
      </c>
      <c r="AL74" s="46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6">
        <f t="shared" si="26"/>
        <v>0</v>
      </c>
      <c r="BA74" s="46"/>
      <c r="BB74" s="41"/>
      <c r="BC74" s="41"/>
      <c r="BD74" s="41"/>
      <c r="BE74" s="41"/>
      <c r="BF74" s="41"/>
      <c r="BG74" s="41"/>
      <c r="BH74" s="41"/>
      <c r="BI74" s="41"/>
      <c r="BJ74" s="46">
        <f t="shared" si="27"/>
        <v>0</v>
      </c>
      <c r="BK74" s="46"/>
      <c r="BL74" s="41"/>
      <c r="BM74" s="41"/>
      <c r="BN74" s="41"/>
      <c r="BO74" s="41"/>
      <c r="BP74" s="41"/>
      <c r="BQ74" s="41"/>
      <c r="BR74" s="41"/>
      <c r="BS74" s="47">
        <f t="shared" si="28"/>
        <v>0</v>
      </c>
      <c r="BT74" s="47"/>
      <c r="BU74" s="44">
        <f t="shared" si="29"/>
        <v>0</v>
      </c>
      <c r="BV74" s="44">
        <f t="shared" si="30"/>
        <v>0</v>
      </c>
      <c r="BW74" s="44">
        <f t="shared" si="31"/>
        <v>0</v>
      </c>
      <c r="BX74" s="44">
        <f t="shared" si="32"/>
        <v>0</v>
      </c>
      <c r="BY74" s="44">
        <f t="shared" si="33"/>
        <v>0</v>
      </c>
      <c r="BZ74" s="44"/>
      <c r="CA74" s="44">
        <f t="shared" si="34"/>
        <v>0</v>
      </c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</row>
    <row r="75" spans="1:100" s="49" customFormat="1" ht="15.75" customHeight="1" x14ac:dyDescent="0.25">
      <c r="A75" s="40" t="s">
        <v>531</v>
      </c>
      <c r="B75" s="41" t="s">
        <v>86</v>
      </c>
      <c r="C75" s="42">
        <v>-33537407</v>
      </c>
      <c r="D75" s="42">
        <v>-7061727</v>
      </c>
      <c r="E75" s="41" t="s">
        <v>535</v>
      </c>
      <c r="F75" s="42">
        <v>-33537407</v>
      </c>
      <c r="G75" s="42">
        <v>-7061727</v>
      </c>
      <c r="H75" s="43" t="s">
        <v>94</v>
      </c>
      <c r="I75" s="41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5"/>
      <c r="AI75" s="45"/>
      <c r="AJ75" s="45"/>
      <c r="AK75" s="46">
        <f t="shared" si="25"/>
        <v>0</v>
      </c>
      <c r="AL75" s="46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6">
        <f t="shared" si="26"/>
        <v>0</v>
      </c>
      <c r="BA75" s="46"/>
      <c r="BB75" s="41"/>
      <c r="BC75" s="41"/>
      <c r="BD75" s="41"/>
      <c r="BE75" s="41"/>
      <c r="BF75" s="41"/>
      <c r="BG75" s="41"/>
      <c r="BH75" s="41"/>
      <c r="BI75" s="41"/>
      <c r="BJ75" s="46">
        <f t="shared" si="27"/>
        <v>0</v>
      </c>
      <c r="BK75" s="46"/>
      <c r="BL75" s="41"/>
      <c r="BM75" s="41"/>
      <c r="BN75" s="41"/>
      <c r="BO75" s="41"/>
      <c r="BP75" s="41"/>
      <c r="BQ75" s="41"/>
      <c r="BR75" s="41"/>
      <c r="BS75" s="47">
        <f t="shared" si="28"/>
        <v>0</v>
      </c>
      <c r="BT75" s="47"/>
      <c r="BU75" s="44">
        <f t="shared" si="29"/>
        <v>0</v>
      </c>
      <c r="BV75" s="44">
        <f t="shared" si="30"/>
        <v>0</v>
      </c>
      <c r="BW75" s="44">
        <f t="shared" si="31"/>
        <v>0</v>
      </c>
      <c r="BX75" s="44">
        <f t="shared" si="32"/>
        <v>0</v>
      </c>
      <c r="BY75" s="44">
        <f t="shared" si="33"/>
        <v>0</v>
      </c>
      <c r="BZ75" s="44"/>
      <c r="CA75" s="44">
        <f t="shared" si="34"/>
        <v>0</v>
      </c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</row>
    <row r="76" spans="1:100" s="49" customFormat="1" ht="15.75" customHeight="1" x14ac:dyDescent="0.25">
      <c r="A76" s="40" t="s">
        <v>531</v>
      </c>
      <c r="B76" s="41" t="s">
        <v>86</v>
      </c>
      <c r="C76" s="41">
        <v>-3353477</v>
      </c>
      <c r="D76" s="41">
        <v>-7061624</v>
      </c>
      <c r="E76" s="41" t="s">
        <v>536</v>
      </c>
      <c r="F76" s="43">
        <v>-33537609</v>
      </c>
      <c r="G76" s="43">
        <v>-70618946</v>
      </c>
      <c r="H76" s="43" t="s">
        <v>279</v>
      </c>
      <c r="I76" s="41">
        <v>1</v>
      </c>
      <c r="J76" s="44">
        <v>0</v>
      </c>
      <c r="K76" s="44">
        <v>0</v>
      </c>
      <c r="L76" s="44">
        <v>1</v>
      </c>
      <c r="M76" s="44">
        <v>1</v>
      </c>
      <c r="N76" s="44">
        <v>1</v>
      </c>
      <c r="O76" s="44">
        <v>1</v>
      </c>
      <c r="P76" s="44">
        <v>0</v>
      </c>
      <c r="Q76" s="44">
        <v>1</v>
      </c>
      <c r="R76" s="44">
        <v>1</v>
      </c>
      <c r="S76" s="44">
        <v>0</v>
      </c>
      <c r="T76" s="44">
        <v>1</v>
      </c>
      <c r="U76" s="44">
        <v>0</v>
      </c>
      <c r="V76" s="44">
        <v>0</v>
      </c>
      <c r="W76" s="44">
        <v>1</v>
      </c>
      <c r="X76" s="44">
        <v>1</v>
      </c>
      <c r="Y76" s="44">
        <v>0</v>
      </c>
      <c r="Z76" s="44">
        <v>1</v>
      </c>
      <c r="AA76" s="44">
        <v>1</v>
      </c>
      <c r="AB76" s="44">
        <v>0</v>
      </c>
      <c r="AC76" s="44">
        <v>1</v>
      </c>
      <c r="AD76" s="44">
        <v>1</v>
      </c>
      <c r="AE76" s="44">
        <v>0</v>
      </c>
      <c r="AF76" s="44">
        <v>1</v>
      </c>
      <c r="AG76" s="44">
        <v>1</v>
      </c>
      <c r="AH76" s="45">
        <v>1</v>
      </c>
      <c r="AI76" s="45">
        <v>1</v>
      </c>
      <c r="AJ76" s="45">
        <v>1</v>
      </c>
      <c r="AK76" s="46">
        <f t="shared" si="25"/>
        <v>19</v>
      </c>
      <c r="AL76" s="46"/>
      <c r="AM76" s="41">
        <v>1</v>
      </c>
      <c r="AN76" s="41">
        <v>1</v>
      </c>
      <c r="AO76" s="41">
        <v>1</v>
      </c>
      <c r="AP76" s="41">
        <v>1</v>
      </c>
      <c r="AQ76" s="41">
        <v>1</v>
      </c>
      <c r="AR76" s="41">
        <v>1</v>
      </c>
      <c r="AS76" s="41">
        <v>1</v>
      </c>
      <c r="AT76" s="41">
        <v>1</v>
      </c>
      <c r="AU76" s="41">
        <v>1</v>
      </c>
      <c r="AV76" s="41">
        <v>0</v>
      </c>
      <c r="AW76" s="41">
        <v>1</v>
      </c>
      <c r="AX76" s="41">
        <v>1</v>
      </c>
      <c r="AY76" s="41">
        <v>1</v>
      </c>
      <c r="AZ76" s="46">
        <f t="shared" si="26"/>
        <v>12</v>
      </c>
      <c r="BA76" s="46"/>
      <c r="BB76" s="41">
        <v>0</v>
      </c>
      <c r="BC76" s="41">
        <v>0</v>
      </c>
      <c r="BD76" s="41">
        <v>1</v>
      </c>
      <c r="BE76" s="41">
        <v>0</v>
      </c>
      <c r="BF76" s="41">
        <v>1</v>
      </c>
      <c r="BG76" s="41">
        <v>0</v>
      </c>
      <c r="BH76" s="41">
        <v>0</v>
      </c>
      <c r="BI76" s="41">
        <v>1</v>
      </c>
      <c r="BJ76" s="46">
        <f t="shared" si="27"/>
        <v>3</v>
      </c>
      <c r="BK76" s="46"/>
      <c r="BL76" s="41">
        <v>0</v>
      </c>
      <c r="BM76" s="41">
        <v>0</v>
      </c>
      <c r="BN76" s="41">
        <v>0</v>
      </c>
      <c r="BO76" s="41">
        <v>1</v>
      </c>
      <c r="BP76" s="41">
        <v>0</v>
      </c>
      <c r="BQ76" s="41">
        <v>0</v>
      </c>
      <c r="BR76" s="41">
        <v>0</v>
      </c>
      <c r="BS76" s="47">
        <f t="shared" si="28"/>
        <v>1</v>
      </c>
      <c r="BT76" s="47"/>
      <c r="BU76" s="44">
        <f t="shared" si="29"/>
        <v>19</v>
      </c>
      <c r="BV76" s="44">
        <f t="shared" si="30"/>
        <v>12</v>
      </c>
      <c r="BW76" s="44">
        <f t="shared" si="31"/>
        <v>31</v>
      </c>
      <c r="BX76" s="44">
        <f t="shared" si="32"/>
        <v>3</v>
      </c>
      <c r="BY76" s="44">
        <f t="shared" si="33"/>
        <v>1</v>
      </c>
      <c r="BZ76" s="44"/>
      <c r="CA76" s="44">
        <f t="shared" si="34"/>
        <v>35</v>
      </c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</row>
    <row r="77" spans="1:100" s="49" customFormat="1" ht="15.75" customHeight="1" x14ac:dyDescent="0.25">
      <c r="A77" s="40" t="s">
        <v>531</v>
      </c>
      <c r="B77" s="41" t="s">
        <v>86</v>
      </c>
      <c r="C77" s="41">
        <v>-3353477</v>
      </c>
      <c r="D77" s="41">
        <v>-7061624</v>
      </c>
      <c r="E77" s="41" t="s">
        <v>537</v>
      </c>
      <c r="F77" s="43">
        <v>-33537682</v>
      </c>
      <c r="G77" s="43">
        <v>-70619537</v>
      </c>
      <c r="H77" s="43" t="s">
        <v>210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1</v>
      </c>
      <c r="V77" s="44">
        <v>0</v>
      </c>
      <c r="W77" s="44">
        <v>0</v>
      </c>
      <c r="X77" s="44">
        <v>1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0</v>
      </c>
      <c r="AH77" s="44">
        <v>0</v>
      </c>
      <c r="AI77" s="44">
        <v>0</v>
      </c>
      <c r="AJ77" s="44">
        <v>0</v>
      </c>
      <c r="AK77" s="46">
        <f t="shared" si="25"/>
        <v>2</v>
      </c>
      <c r="AL77" s="50"/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S77" s="44">
        <v>0</v>
      </c>
      <c r="AT77" s="44">
        <v>0</v>
      </c>
      <c r="AU77" s="44">
        <v>0</v>
      </c>
      <c r="AV77" s="44">
        <v>0</v>
      </c>
      <c r="AW77" s="44">
        <v>0</v>
      </c>
      <c r="AX77" s="44">
        <v>0</v>
      </c>
      <c r="AY77" s="44">
        <v>0</v>
      </c>
      <c r="AZ77" s="46">
        <f t="shared" si="26"/>
        <v>0</v>
      </c>
      <c r="BA77" s="46"/>
      <c r="BB77" s="41">
        <v>0</v>
      </c>
      <c r="BC77" s="41">
        <v>0</v>
      </c>
      <c r="BD77" s="41">
        <v>0</v>
      </c>
      <c r="BE77" s="41">
        <v>0</v>
      </c>
      <c r="BF77" s="41">
        <v>0</v>
      </c>
      <c r="BG77" s="41">
        <v>1</v>
      </c>
      <c r="BH77" s="41">
        <v>0</v>
      </c>
      <c r="BI77" s="41">
        <v>0</v>
      </c>
      <c r="BJ77" s="46">
        <f t="shared" si="27"/>
        <v>1</v>
      </c>
      <c r="BK77" s="46"/>
      <c r="BL77" s="41">
        <v>0</v>
      </c>
      <c r="BM77" s="41">
        <v>0</v>
      </c>
      <c r="BN77" s="41">
        <v>0</v>
      </c>
      <c r="BO77" s="41">
        <v>0</v>
      </c>
      <c r="BP77" s="41">
        <v>0</v>
      </c>
      <c r="BQ77" s="41">
        <v>0</v>
      </c>
      <c r="BR77" s="41">
        <v>0</v>
      </c>
      <c r="BS77" s="47">
        <f t="shared" si="28"/>
        <v>0</v>
      </c>
      <c r="BT77" s="47"/>
      <c r="BU77" s="44">
        <f t="shared" si="29"/>
        <v>2</v>
      </c>
      <c r="BV77" s="44">
        <f t="shared" si="30"/>
        <v>0</v>
      </c>
      <c r="BW77" s="44">
        <f t="shared" si="31"/>
        <v>2</v>
      </c>
      <c r="BX77" s="44">
        <f t="shared" si="32"/>
        <v>1</v>
      </c>
      <c r="BY77" s="44">
        <f t="shared" si="33"/>
        <v>0</v>
      </c>
      <c r="BZ77" s="44"/>
      <c r="CA77" s="44">
        <f t="shared" si="34"/>
        <v>3</v>
      </c>
      <c r="CB77" s="44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</row>
    <row r="78" spans="1:100" s="49" customFormat="1" ht="15.75" customHeight="1" x14ac:dyDescent="0.25">
      <c r="A78" s="40" t="s">
        <v>531</v>
      </c>
      <c r="B78" s="41" t="s">
        <v>86</v>
      </c>
      <c r="C78" s="41">
        <v>-3353477</v>
      </c>
      <c r="D78" s="41">
        <v>-7061624</v>
      </c>
      <c r="E78" s="41" t="s">
        <v>538</v>
      </c>
      <c r="F78" s="43">
        <v>-33537682</v>
      </c>
      <c r="G78" s="43">
        <v>-70619537</v>
      </c>
      <c r="H78" s="43" t="s">
        <v>94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1</v>
      </c>
      <c r="AD78" s="44">
        <v>0</v>
      </c>
      <c r="AE78" s="44">
        <v>0</v>
      </c>
      <c r="AF78" s="44">
        <v>0</v>
      </c>
      <c r="AG78" s="44">
        <v>1</v>
      </c>
      <c r="AH78" s="45">
        <v>0</v>
      </c>
      <c r="AI78" s="45">
        <v>0</v>
      </c>
      <c r="AJ78" s="45">
        <v>0</v>
      </c>
      <c r="AK78" s="46">
        <f t="shared" si="25"/>
        <v>2</v>
      </c>
      <c r="AL78" s="46"/>
      <c r="AM78" s="41">
        <v>0</v>
      </c>
      <c r="AN78" s="41">
        <v>1</v>
      </c>
      <c r="AO78" s="41">
        <v>0</v>
      </c>
      <c r="AP78" s="41">
        <v>1</v>
      </c>
      <c r="AQ78" s="41">
        <v>0</v>
      </c>
      <c r="AR78" s="41">
        <v>0</v>
      </c>
      <c r="AS78" s="41">
        <v>0</v>
      </c>
      <c r="AT78" s="41">
        <v>0</v>
      </c>
      <c r="AU78" s="41">
        <v>0</v>
      </c>
      <c r="AV78" s="41">
        <v>0</v>
      </c>
      <c r="AW78" s="41">
        <v>1</v>
      </c>
      <c r="AX78" s="41">
        <v>1</v>
      </c>
      <c r="AY78" s="41">
        <v>0</v>
      </c>
      <c r="AZ78" s="46">
        <f t="shared" si="26"/>
        <v>4</v>
      </c>
      <c r="BA78" s="46"/>
      <c r="BB78" s="41">
        <v>0</v>
      </c>
      <c r="BC78" s="41">
        <v>0</v>
      </c>
      <c r="BD78" s="41">
        <v>0</v>
      </c>
      <c r="BE78" s="41">
        <v>0</v>
      </c>
      <c r="BF78" s="41">
        <v>0</v>
      </c>
      <c r="BG78" s="41">
        <v>0</v>
      </c>
      <c r="BH78" s="41">
        <v>0</v>
      </c>
      <c r="BI78" s="41">
        <v>0</v>
      </c>
      <c r="BJ78" s="46">
        <f t="shared" si="27"/>
        <v>0</v>
      </c>
      <c r="BK78" s="46"/>
      <c r="BL78" s="41">
        <v>0</v>
      </c>
      <c r="BM78" s="41">
        <v>0</v>
      </c>
      <c r="BN78" s="41">
        <v>0</v>
      </c>
      <c r="BO78" s="41">
        <v>0</v>
      </c>
      <c r="BP78" s="41">
        <v>0</v>
      </c>
      <c r="BQ78" s="41">
        <v>0</v>
      </c>
      <c r="BR78" s="41">
        <v>0</v>
      </c>
      <c r="BS78" s="47">
        <f t="shared" si="28"/>
        <v>0</v>
      </c>
      <c r="BT78" s="47"/>
      <c r="BU78" s="44">
        <f t="shared" si="29"/>
        <v>2</v>
      </c>
      <c r="BV78" s="44">
        <f t="shared" si="30"/>
        <v>4</v>
      </c>
      <c r="BW78" s="44">
        <f t="shared" si="31"/>
        <v>6</v>
      </c>
      <c r="BX78" s="44">
        <f t="shared" si="32"/>
        <v>0</v>
      </c>
      <c r="BY78" s="44">
        <f t="shared" si="33"/>
        <v>0</v>
      </c>
      <c r="BZ78" s="44"/>
      <c r="CA78" s="44">
        <f t="shared" si="34"/>
        <v>6</v>
      </c>
      <c r="CB78" s="44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</row>
    <row r="79" spans="1:100" s="49" customFormat="1" ht="15.75" customHeight="1" x14ac:dyDescent="0.25">
      <c r="A79" s="40" t="s">
        <v>531</v>
      </c>
      <c r="B79" s="41" t="s">
        <v>86</v>
      </c>
      <c r="C79" s="42">
        <v>-33537682</v>
      </c>
      <c r="D79" s="42">
        <v>-70619537</v>
      </c>
      <c r="E79" s="41" t="s">
        <v>539</v>
      </c>
      <c r="F79" s="42">
        <v>-33537682</v>
      </c>
      <c r="G79" s="42">
        <v>-70619537</v>
      </c>
      <c r="H79" s="43" t="s">
        <v>540</v>
      </c>
      <c r="I79" s="41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5"/>
      <c r="AI79" s="45"/>
      <c r="AJ79" s="45"/>
      <c r="AK79" s="46">
        <f t="shared" si="25"/>
        <v>0</v>
      </c>
      <c r="AL79" s="46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6">
        <f t="shared" si="26"/>
        <v>0</v>
      </c>
      <c r="BA79" s="46"/>
      <c r="BB79" s="41"/>
      <c r="BC79" s="41"/>
      <c r="BD79" s="41"/>
      <c r="BE79" s="41"/>
      <c r="BF79" s="41"/>
      <c r="BG79" s="41"/>
      <c r="BH79" s="41"/>
      <c r="BI79" s="41"/>
      <c r="BJ79" s="46">
        <f t="shared" si="27"/>
        <v>0</v>
      </c>
      <c r="BK79" s="46"/>
      <c r="BL79" s="41"/>
      <c r="BM79" s="41"/>
      <c r="BN79" s="41"/>
      <c r="BO79" s="41"/>
      <c r="BP79" s="41"/>
      <c r="BQ79" s="41"/>
      <c r="BR79" s="41"/>
      <c r="BS79" s="47">
        <f t="shared" si="28"/>
        <v>0</v>
      </c>
      <c r="BT79" s="47"/>
      <c r="BU79" s="44">
        <f t="shared" si="29"/>
        <v>0</v>
      </c>
      <c r="BV79" s="44">
        <f t="shared" si="30"/>
        <v>0</v>
      </c>
      <c r="BW79" s="44">
        <f t="shared" si="31"/>
        <v>0</v>
      </c>
      <c r="BX79" s="44">
        <f t="shared" si="32"/>
        <v>0</v>
      </c>
      <c r="BY79" s="44">
        <f t="shared" si="33"/>
        <v>0</v>
      </c>
      <c r="BZ79" s="44"/>
      <c r="CA79" s="44">
        <f t="shared" si="34"/>
        <v>0</v>
      </c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</row>
    <row r="80" spans="1:100" s="49" customFormat="1" ht="15.75" customHeight="1" x14ac:dyDescent="0.25">
      <c r="A80" s="40" t="s">
        <v>531</v>
      </c>
      <c r="B80" s="41" t="s">
        <v>86</v>
      </c>
      <c r="C80" s="42">
        <v>-33537929</v>
      </c>
      <c r="D80" s="42">
        <v>-706199335</v>
      </c>
      <c r="E80" s="41" t="s">
        <v>541</v>
      </c>
      <c r="F80" s="42">
        <v>-33537929</v>
      </c>
      <c r="G80" s="42">
        <v>-706199335</v>
      </c>
      <c r="H80" s="43" t="s">
        <v>542</v>
      </c>
      <c r="I80" s="41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5"/>
      <c r="AI80" s="45"/>
      <c r="AJ80" s="45"/>
      <c r="AK80" s="46">
        <f t="shared" si="25"/>
        <v>0</v>
      </c>
      <c r="AL80" s="46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6">
        <f t="shared" si="26"/>
        <v>0</v>
      </c>
      <c r="BA80" s="46"/>
      <c r="BB80" s="41"/>
      <c r="BC80" s="41"/>
      <c r="BD80" s="41"/>
      <c r="BE80" s="41"/>
      <c r="BF80" s="41"/>
      <c r="BG80" s="41"/>
      <c r="BH80" s="41"/>
      <c r="BI80" s="41"/>
      <c r="BJ80" s="46">
        <f t="shared" si="27"/>
        <v>0</v>
      </c>
      <c r="BK80" s="46"/>
      <c r="BL80" s="41"/>
      <c r="BM80" s="41"/>
      <c r="BN80" s="41"/>
      <c r="BO80" s="41"/>
      <c r="BP80" s="41"/>
      <c r="BQ80" s="41"/>
      <c r="BR80" s="41"/>
      <c r="BS80" s="47">
        <f t="shared" si="28"/>
        <v>0</v>
      </c>
      <c r="BT80" s="47"/>
      <c r="BU80" s="44">
        <f t="shared" si="29"/>
        <v>0</v>
      </c>
      <c r="BV80" s="44">
        <f t="shared" si="30"/>
        <v>0</v>
      </c>
      <c r="BW80" s="44">
        <f t="shared" si="31"/>
        <v>0</v>
      </c>
      <c r="BX80" s="44">
        <f t="shared" si="32"/>
        <v>0</v>
      </c>
      <c r="BY80" s="44">
        <f t="shared" si="33"/>
        <v>0</v>
      </c>
      <c r="BZ80" s="44"/>
      <c r="CA80" s="44">
        <f t="shared" si="34"/>
        <v>0</v>
      </c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</row>
    <row r="81" spans="1:100" s="49" customFormat="1" ht="15.75" customHeight="1" x14ac:dyDescent="0.25">
      <c r="A81" s="40" t="s">
        <v>531</v>
      </c>
      <c r="B81" s="41" t="s">
        <v>86</v>
      </c>
      <c r="C81" s="42">
        <v>-33537929</v>
      </c>
      <c r="D81" s="42">
        <v>-70619935</v>
      </c>
      <c r="E81" s="41" t="s">
        <v>543</v>
      </c>
      <c r="F81" s="42">
        <v>-33537929</v>
      </c>
      <c r="G81" s="42">
        <v>-70619935</v>
      </c>
      <c r="H81" s="43" t="s">
        <v>94</v>
      </c>
      <c r="I81" s="41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5"/>
      <c r="AI81" s="45"/>
      <c r="AJ81" s="45"/>
      <c r="AK81" s="46">
        <f t="shared" si="25"/>
        <v>0</v>
      </c>
      <c r="AL81" s="46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6">
        <f t="shared" si="26"/>
        <v>0</v>
      </c>
      <c r="BA81" s="46"/>
      <c r="BB81" s="41"/>
      <c r="BC81" s="41"/>
      <c r="BD81" s="41"/>
      <c r="BE81" s="41"/>
      <c r="BF81" s="41"/>
      <c r="BG81" s="41"/>
      <c r="BH81" s="41"/>
      <c r="BI81" s="41"/>
      <c r="BJ81" s="46">
        <f t="shared" si="27"/>
        <v>0</v>
      </c>
      <c r="BK81" s="46"/>
      <c r="BL81" s="41"/>
      <c r="BM81" s="41"/>
      <c r="BN81" s="41"/>
      <c r="BO81" s="41"/>
      <c r="BP81" s="41"/>
      <c r="BQ81" s="41"/>
      <c r="BR81" s="41"/>
      <c r="BS81" s="47">
        <f t="shared" si="28"/>
        <v>0</v>
      </c>
      <c r="BT81" s="47"/>
      <c r="BU81" s="44">
        <f t="shared" si="29"/>
        <v>0</v>
      </c>
      <c r="BV81" s="44">
        <f t="shared" si="30"/>
        <v>0</v>
      </c>
      <c r="BW81" s="44">
        <f t="shared" si="31"/>
        <v>0</v>
      </c>
      <c r="BX81" s="44">
        <f t="shared" si="32"/>
        <v>0</v>
      </c>
      <c r="BY81" s="44">
        <f t="shared" si="33"/>
        <v>0</v>
      </c>
      <c r="BZ81" s="44"/>
      <c r="CA81" s="44">
        <f t="shared" si="34"/>
        <v>0</v>
      </c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</row>
    <row r="82" spans="1:100" s="49" customFormat="1" ht="13.5" customHeight="1" x14ac:dyDescent="0.25">
      <c r="A82" s="40" t="s">
        <v>531</v>
      </c>
      <c r="B82" s="41" t="s">
        <v>86</v>
      </c>
      <c r="C82" s="41">
        <v>-3353477</v>
      </c>
      <c r="D82" s="41">
        <v>-7061624</v>
      </c>
      <c r="E82" s="51" t="s">
        <v>544</v>
      </c>
      <c r="F82" s="52">
        <v>-33535178</v>
      </c>
      <c r="G82" s="52">
        <v>-70617559</v>
      </c>
      <c r="H82" s="44" t="s">
        <v>94</v>
      </c>
      <c r="I82" s="44">
        <v>0</v>
      </c>
      <c r="J82" s="44">
        <v>0</v>
      </c>
      <c r="K82" s="44">
        <v>0</v>
      </c>
      <c r="L82" s="44">
        <v>0</v>
      </c>
      <c r="M82" s="44">
        <v>1</v>
      </c>
      <c r="N82" s="44">
        <v>1</v>
      </c>
      <c r="O82" s="44">
        <v>1</v>
      </c>
      <c r="P82" s="44">
        <v>0</v>
      </c>
      <c r="Q82" s="44">
        <v>1</v>
      </c>
      <c r="R82" s="44">
        <v>1</v>
      </c>
      <c r="S82" s="44">
        <v>1</v>
      </c>
      <c r="T82" s="44">
        <v>0</v>
      </c>
      <c r="U82" s="44">
        <v>0</v>
      </c>
      <c r="V82" s="44">
        <v>0</v>
      </c>
      <c r="W82" s="44">
        <v>1</v>
      </c>
      <c r="X82" s="44">
        <v>1</v>
      </c>
      <c r="Y82" s="44">
        <v>0</v>
      </c>
      <c r="Z82" s="44">
        <v>1</v>
      </c>
      <c r="AA82" s="44">
        <v>0</v>
      </c>
      <c r="AB82" s="44">
        <v>0</v>
      </c>
      <c r="AC82" s="44">
        <v>1</v>
      </c>
      <c r="AD82" s="44">
        <v>1</v>
      </c>
      <c r="AE82" s="44">
        <v>0</v>
      </c>
      <c r="AF82" s="44">
        <v>1</v>
      </c>
      <c r="AG82" s="44">
        <v>1</v>
      </c>
      <c r="AH82" s="44">
        <v>1</v>
      </c>
      <c r="AI82" s="44">
        <v>1</v>
      </c>
      <c r="AJ82" s="44">
        <v>1</v>
      </c>
      <c r="AK82" s="46">
        <f t="shared" si="25"/>
        <v>16</v>
      </c>
      <c r="AL82" s="50"/>
      <c r="AM82" s="44">
        <v>1</v>
      </c>
      <c r="AN82" s="44">
        <v>1</v>
      </c>
      <c r="AO82" s="44">
        <v>1</v>
      </c>
      <c r="AP82" s="44">
        <v>1</v>
      </c>
      <c r="AQ82" s="44">
        <v>1</v>
      </c>
      <c r="AR82" s="44">
        <v>1</v>
      </c>
      <c r="AS82" s="44">
        <v>1</v>
      </c>
      <c r="AT82" s="44">
        <v>0</v>
      </c>
      <c r="AU82" s="44">
        <v>0</v>
      </c>
      <c r="AV82" s="44">
        <v>0</v>
      </c>
      <c r="AW82" s="44">
        <v>0</v>
      </c>
      <c r="AX82" s="44">
        <v>1</v>
      </c>
      <c r="AY82" s="44">
        <v>1</v>
      </c>
      <c r="AZ82" s="46">
        <f t="shared" si="26"/>
        <v>9</v>
      </c>
      <c r="BA82" s="50"/>
      <c r="BB82" s="44">
        <v>0</v>
      </c>
      <c r="BC82" s="44">
        <v>0</v>
      </c>
      <c r="BD82" s="44">
        <v>0</v>
      </c>
      <c r="BE82" s="44">
        <v>0</v>
      </c>
      <c r="BF82" s="44">
        <v>0</v>
      </c>
      <c r="BG82" s="44">
        <v>0</v>
      </c>
      <c r="BH82" s="44">
        <v>0</v>
      </c>
      <c r="BI82" s="44">
        <v>0</v>
      </c>
      <c r="BJ82" s="46">
        <f t="shared" si="27"/>
        <v>0</v>
      </c>
      <c r="BK82" s="50"/>
      <c r="BL82" s="44">
        <v>0</v>
      </c>
      <c r="BM82" s="44">
        <v>0</v>
      </c>
      <c r="BN82" s="44">
        <v>0</v>
      </c>
      <c r="BO82" s="44">
        <v>0</v>
      </c>
      <c r="BP82" s="44">
        <v>0</v>
      </c>
      <c r="BQ82" s="44">
        <v>0</v>
      </c>
      <c r="BR82" s="44">
        <v>0</v>
      </c>
      <c r="BS82" s="47">
        <f t="shared" si="28"/>
        <v>0</v>
      </c>
      <c r="BT82" s="47"/>
      <c r="BU82" s="44">
        <f t="shared" si="29"/>
        <v>16</v>
      </c>
      <c r="BV82" s="44">
        <f t="shared" si="30"/>
        <v>9</v>
      </c>
      <c r="BW82" s="44">
        <f t="shared" si="31"/>
        <v>25</v>
      </c>
      <c r="BX82" s="44">
        <f t="shared" si="32"/>
        <v>0</v>
      </c>
      <c r="BY82" s="44">
        <f t="shared" si="33"/>
        <v>0</v>
      </c>
      <c r="BZ82" s="44"/>
      <c r="CA82" s="44">
        <f t="shared" si="34"/>
        <v>25</v>
      </c>
      <c r="CB82" s="44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</row>
    <row r="83" spans="1:100" s="49" customFormat="1" ht="15.75" customHeight="1" x14ac:dyDescent="0.25">
      <c r="A83" s="40" t="s">
        <v>531</v>
      </c>
      <c r="B83" s="41" t="s">
        <v>86</v>
      </c>
      <c r="C83" s="42">
        <v>-33535374</v>
      </c>
      <c r="D83" s="42">
        <v>-70618837</v>
      </c>
      <c r="E83" s="41" t="s">
        <v>545</v>
      </c>
      <c r="F83" s="42">
        <v>-33535374</v>
      </c>
      <c r="G83" s="42">
        <v>-70618837</v>
      </c>
      <c r="H83" s="43" t="s">
        <v>94</v>
      </c>
      <c r="I83" s="41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5"/>
      <c r="AI83" s="45"/>
      <c r="AJ83" s="45"/>
      <c r="AK83" s="46">
        <f t="shared" si="25"/>
        <v>0</v>
      </c>
      <c r="AL83" s="46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6">
        <f t="shared" si="26"/>
        <v>0</v>
      </c>
      <c r="BA83" s="46"/>
      <c r="BB83" s="41"/>
      <c r="BC83" s="41"/>
      <c r="BD83" s="41"/>
      <c r="BE83" s="41"/>
      <c r="BF83" s="41"/>
      <c r="BG83" s="41"/>
      <c r="BH83" s="41"/>
      <c r="BI83" s="41"/>
      <c r="BJ83" s="46">
        <f t="shared" si="27"/>
        <v>0</v>
      </c>
      <c r="BK83" s="46"/>
      <c r="BL83" s="41"/>
      <c r="BM83" s="41"/>
      <c r="BN83" s="41"/>
      <c r="BO83" s="41"/>
      <c r="BP83" s="41"/>
      <c r="BQ83" s="41"/>
      <c r="BR83" s="41"/>
      <c r="BS83" s="47">
        <f t="shared" si="28"/>
        <v>0</v>
      </c>
      <c r="BT83" s="47"/>
      <c r="BU83" s="44">
        <f t="shared" si="29"/>
        <v>0</v>
      </c>
      <c r="BV83" s="44">
        <f t="shared" si="30"/>
        <v>0</v>
      </c>
      <c r="BW83" s="44">
        <f t="shared" si="31"/>
        <v>0</v>
      </c>
      <c r="BX83" s="44">
        <f t="shared" si="32"/>
        <v>0</v>
      </c>
      <c r="BY83" s="44">
        <f t="shared" si="33"/>
        <v>0</v>
      </c>
      <c r="BZ83" s="44"/>
      <c r="CA83" s="44">
        <f t="shared" si="34"/>
        <v>0</v>
      </c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</row>
    <row r="84" spans="1:100" s="49" customFormat="1" ht="13.5" customHeight="1" x14ac:dyDescent="0.25">
      <c r="A84" s="40" t="s">
        <v>531</v>
      </c>
      <c r="B84" s="41" t="s">
        <v>86</v>
      </c>
      <c r="C84" s="41">
        <v>-3353477</v>
      </c>
      <c r="D84" s="41">
        <v>-7061624</v>
      </c>
      <c r="E84" s="41" t="s">
        <v>546</v>
      </c>
      <c r="F84" s="43">
        <v>-3353421</v>
      </c>
      <c r="G84" s="43">
        <v>-70620498</v>
      </c>
      <c r="H84" s="43" t="s">
        <v>94</v>
      </c>
      <c r="I84" s="44">
        <v>0</v>
      </c>
      <c r="J84" s="44">
        <v>0</v>
      </c>
      <c r="K84" s="44">
        <v>0</v>
      </c>
      <c r="L84" s="44">
        <v>1</v>
      </c>
      <c r="M84" s="44">
        <v>1</v>
      </c>
      <c r="N84" s="44">
        <v>1</v>
      </c>
      <c r="O84" s="44">
        <v>1</v>
      </c>
      <c r="P84" s="44">
        <v>0</v>
      </c>
      <c r="Q84" s="44">
        <v>1</v>
      </c>
      <c r="R84" s="44">
        <v>1</v>
      </c>
      <c r="S84" s="44">
        <v>1</v>
      </c>
      <c r="T84" s="44">
        <v>1</v>
      </c>
      <c r="U84" s="44">
        <v>0</v>
      </c>
      <c r="V84" s="44">
        <v>0</v>
      </c>
      <c r="W84" s="44">
        <v>1</v>
      </c>
      <c r="X84" s="44">
        <v>1</v>
      </c>
      <c r="Y84" s="44">
        <v>0</v>
      </c>
      <c r="Z84" s="44">
        <v>0</v>
      </c>
      <c r="AA84" s="44">
        <v>0</v>
      </c>
      <c r="AB84" s="44">
        <v>0</v>
      </c>
      <c r="AC84" s="44">
        <v>1</v>
      </c>
      <c r="AD84" s="44">
        <v>1</v>
      </c>
      <c r="AE84" s="44">
        <v>0</v>
      </c>
      <c r="AF84" s="44">
        <v>1</v>
      </c>
      <c r="AG84" s="44">
        <v>1</v>
      </c>
      <c r="AH84" s="44">
        <v>0</v>
      </c>
      <c r="AI84" s="44">
        <v>0</v>
      </c>
      <c r="AJ84" s="44">
        <v>0</v>
      </c>
      <c r="AK84" s="46">
        <f t="shared" si="25"/>
        <v>14</v>
      </c>
      <c r="AL84" s="46"/>
      <c r="AM84" s="41">
        <v>1</v>
      </c>
      <c r="AN84" s="41">
        <v>1</v>
      </c>
      <c r="AO84" s="41">
        <v>1</v>
      </c>
      <c r="AP84" s="41">
        <v>1</v>
      </c>
      <c r="AQ84" s="41">
        <v>1</v>
      </c>
      <c r="AR84" s="41">
        <v>1</v>
      </c>
      <c r="AS84" s="41">
        <v>1</v>
      </c>
      <c r="AT84" s="41">
        <v>0</v>
      </c>
      <c r="AU84" s="41">
        <v>0</v>
      </c>
      <c r="AV84" s="41">
        <v>0</v>
      </c>
      <c r="AW84" s="41">
        <v>1</v>
      </c>
      <c r="AX84" s="41">
        <v>1</v>
      </c>
      <c r="AY84" s="41">
        <v>1</v>
      </c>
      <c r="AZ84" s="46">
        <f t="shared" si="26"/>
        <v>10</v>
      </c>
      <c r="BA84" s="46"/>
      <c r="BB84" s="41">
        <v>0</v>
      </c>
      <c r="BC84" s="41">
        <v>0</v>
      </c>
      <c r="BD84" s="41">
        <v>0</v>
      </c>
      <c r="BE84" s="41">
        <v>0</v>
      </c>
      <c r="BF84" s="41">
        <v>0</v>
      </c>
      <c r="BG84" s="41">
        <v>0</v>
      </c>
      <c r="BH84" s="41">
        <v>0</v>
      </c>
      <c r="BI84" s="41">
        <v>0</v>
      </c>
      <c r="BJ84" s="46">
        <f t="shared" si="27"/>
        <v>0</v>
      </c>
      <c r="BK84" s="46"/>
      <c r="BL84" s="41">
        <v>0</v>
      </c>
      <c r="BM84" s="41">
        <v>0</v>
      </c>
      <c r="BN84" s="41">
        <v>0</v>
      </c>
      <c r="BO84" s="41">
        <v>0</v>
      </c>
      <c r="BP84" s="41">
        <v>0</v>
      </c>
      <c r="BQ84" s="41">
        <v>0</v>
      </c>
      <c r="BR84" s="41">
        <v>0</v>
      </c>
      <c r="BS84" s="47">
        <f t="shared" si="28"/>
        <v>0</v>
      </c>
      <c r="BT84" s="47"/>
      <c r="BU84" s="44">
        <f t="shared" si="29"/>
        <v>14</v>
      </c>
      <c r="BV84" s="44">
        <f t="shared" si="30"/>
        <v>10</v>
      </c>
      <c r="BW84" s="44">
        <f t="shared" si="31"/>
        <v>24</v>
      </c>
      <c r="BX84" s="44">
        <f t="shared" si="32"/>
        <v>0</v>
      </c>
      <c r="BY84" s="44">
        <f t="shared" si="33"/>
        <v>0</v>
      </c>
      <c r="BZ84" s="44"/>
      <c r="CA84" s="44">
        <f t="shared" si="34"/>
        <v>24</v>
      </c>
      <c r="CB84" s="44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</row>
    <row r="85" spans="1:100" s="49" customFormat="1" ht="13.5" customHeight="1" x14ac:dyDescent="0.25">
      <c r="A85" s="40" t="s">
        <v>531</v>
      </c>
      <c r="B85" s="41" t="s">
        <v>86</v>
      </c>
      <c r="C85" s="41">
        <v>-3353477</v>
      </c>
      <c r="D85" s="41">
        <v>-7061624</v>
      </c>
      <c r="E85" s="41" t="s">
        <v>547</v>
      </c>
      <c r="F85" s="43">
        <v>-33534114</v>
      </c>
      <c r="G85" s="43">
        <v>-70620792</v>
      </c>
      <c r="H85" s="43" t="s">
        <v>94</v>
      </c>
      <c r="I85" s="44">
        <v>0</v>
      </c>
      <c r="J85" s="44">
        <v>0</v>
      </c>
      <c r="K85" s="44">
        <v>0</v>
      </c>
      <c r="L85" s="44">
        <v>1</v>
      </c>
      <c r="M85" s="44">
        <v>1</v>
      </c>
      <c r="N85" s="44">
        <v>1</v>
      </c>
      <c r="O85" s="44">
        <v>1</v>
      </c>
      <c r="P85" s="44">
        <v>0</v>
      </c>
      <c r="Q85" s="44">
        <v>1</v>
      </c>
      <c r="R85" s="44">
        <v>1</v>
      </c>
      <c r="S85" s="44">
        <v>0</v>
      </c>
      <c r="T85" s="44">
        <v>1</v>
      </c>
      <c r="U85" s="44">
        <v>1</v>
      </c>
      <c r="V85" s="44">
        <v>0</v>
      </c>
      <c r="W85" s="44">
        <v>1</v>
      </c>
      <c r="X85" s="44">
        <v>1</v>
      </c>
      <c r="Y85" s="44">
        <v>0</v>
      </c>
      <c r="Z85" s="44">
        <v>1</v>
      </c>
      <c r="AA85" s="44">
        <v>0</v>
      </c>
      <c r="AB85" s="44">
        <v>0</v>
      </c>
      <c r="AC85" s="44">
        <v>1</v>
      </c>
      <c r="AD85" s="44">
        <v>1</v>
      </c>
      <c r="AE85" s="44">
        <v>0</v>
      </c>
      <c r="AF85" s="44">
        <v>1</v>
      </c>
      <c r="AG85" s="44">
        <v>1</v>
      </c>
      <c r="AH85" s="44">
        <v>1</v>
      </c>
      <c r="AI85" s="44">
        <v>1</v>
      </c>
      <c r="AJ85" s="44">
        <v>1</v>
      </c>
      <c r="AK85" s="46">
        <f t="shared" si="25"/>
        <v>18</v>
      </c>
      <c r="AL85" s="46"/>
      <c r="AM85" s="41">
        <v>1</v>
      </c>
      <c r="AN85" s="41">
        <v>1</v>
      </c>
      <c r="AO85" s="41">
        <v>1</v>
      </c>
      <c r="AP85" s="41">
        <v>1</v>
      </c>
      <c r="AQ85" s="41">
        <v>1</v>
      </c>
      <c r="AR85" s="41">
        <v>1</v>
      </c>
      <c r="AS85" s="41">
        <v>1</v>
      </c>
      <c r="AT85" s="41">
        <v>0</v>
      </c>
      <c r="AU85" s="41">
        <v>0</v>
      </c>
      <c r="AV85" s="41">
        <v>0</v>
      </c>
      <c r="AW85" s="41">
        <v>1</v>
      </c>
      <c r="AX85" s="41">
        <v>1</v>
      </c>
      <c r="AY85" s="41">
        <v>1</v>
      </c>
      <c r="AZ85" s="46">
        <f t="shared" si="26"/>
        <v>10</v>
      </c>
      <c r="BA85" s="46"/>
      <c r="BB85" s="41">
        <v>0</v>
      </c>
      <c r="BC85" s="41">
        <v>1</v>
      </c>
      <c r="BD85" s="41">
        <v>1</v>
      </c>
      <c r="BE85" s="41">
        <v>0</v>
      </c>
      <c r="BF85" s="41">
        <v>0</v>
      </c>
      <c r="BG85" s="41">
        <v>0</v>
      </c>
      <c r="BH85" s="41">
        <v>0</v>
      </c>
      <c r="BI85" s="41">
        <v>1</v>
      </c>
      <c r="BJ85" s="46">
        <f t="shared" si="27"/>
        <v>3</v>
      </c>
      <c r="BK85" s="46"/>
      <c r="BL85" s="41">
        <v>0</v>
      </c>
      <c r="BM85" s="41">
        <v>0</v>
      </c>
      <c r="BN85" s="41">
        <v>0</v>
      </c>
      <c r="BO85" s="41">
        <v>1</v>
      </c>
      <c r="BP85" s="41">
        <v>0</v>
      </c>
      <c r="BQ85" s="41">
        <v>0</v>
      </c>
      <c r="BR85" s="41">
        <v>0</v>
      </c>
      <c r="BS85" s="47">
        <f t="shared" si="28"/>
        <v>1</v>
      </c>
      <c r="BT85" s="47"/>
      <c r="BU85" s="44">
        <f t="shared" si="29"/>
        <v>18</v>
      </c>
      <c r="BV85" s="44">
        <f t="shared" si="30"/>
        <v>10</v>
      </c>
      <c r="BW85" s="44">
        <f t="shared" si="31"/>
        <v>28</v>
      </c>
      <c r="BX85" s="44">
        <f t="shared" si="32"/>
        <v>3</v>
      </c>
      <c r="BY85" s="44">
        <f t="shared" si="33"/>
        <v>1</v>
      </c>
      <c r="BZ85" s="44"/>
      <c r="CA85" s="44">
        <f t="shared" si="34"/>
        <v>32</v>
      </c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</row>
    <row r="86" spans="1:100" s="49" customFormat="1" ht="15.75" customHeight="1" x14ac:dyDescent="0.25">
      <c r="A86" s="40" t="s">
        <v>531</v>
      </c>
      <c r="B86" s="41" t="s">
        <v>86</v>
      </c>
      <c r="C86" s="41">
        <v>-3353477</v>
      </c>
      <c r="D86" s="41">
        <v>-7061624</v>
      </c>
      <c r="E86" s="41" t="s">
        <v>548</v>
      </c>
      <c r="F86" s="43">
        <v>-33533377</v>
      </c>
      <c r="G86" s="43">
        <v>-70618491</v>
      </c>
      <c r="H86" s="43" t="s">
        <v>96</v>
      </c>
      <c r="I86" s="44">
        <v>0</v>
      </c>
      <c r="J86" s="44">
        <v>0</v>
      </c>
      <c r="K86" s="44">
        <v>0</v>
      </c>
      <c r="L86" s="44">
        <v>1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1</v>
      </c>
      <c r="AD86" s="44">
        <v>1</v>
      </c>
      <c r="AE86" s="44">
        <v>0</v>
      </c>
      <c r="AF86" s="44">
        <v>1</v>
      </c>
      <c r="AG86" s="44">
        <v>1</v>
      </c>
      <c r="AH86" s="44">
        <v>0</v>
      </c>
      <c r="AI86" s="44">
        <v>0</v>
      </c>
      <c r="AJ86" s="44">
        <v>0</v>
      </c>
      <c r="AK86" s="46">
        <f t="shared" si="25"/>
        <v>5</v>
      </c>
      <c r="AL86" s="46"/>
      <c r="AM86" s="41">
        <v>1</v>
      </c>
      <c r="AN86" s="41">
        <v>1</v>
      </c>
      <c r="AO86" s="41">
        <v>0</v>
      </c>
      <c r="AP86" s="41">
        <v>1</v>
      </c>
      <c r="AQ86" s="41">
        <v>0</v>
      </c>
      <c r="AR86" s="41">
        <v>0</v>
      </c>
      <c r="AS86" s="41">
        <v>0</v>
      </c>
      <c r="AT86" s="41">
        <v>0</v>
      </c>
      <c r="AU86" s="41">
        <v>0</v>
      </c>
      <c r="AV86" s="41">
        <v>0</v>
      </c>
      <c r="AW86" s="41">
        <v>1</v>
      </c>
      <c r="AX86" s="41">
        <v>1</v>
      </c>
      <c r="AY86" s="41">
        <v>0</v>
      </c>
      <c r="AZ86" s="46">
        <f t="shared" si="26"/>
        <v>5</v>
      </c>
      <c r="BA86" s="46"/>
      <c r="BB86" s="41">
        <v>0</v>
      </c>
      <c r="BC86" s="41">
        <v>0</v>
      </c>
      <c r="BD86" s="41">
        <v>0</v>
      </c>
      <c r="BE86" s="41">
        <v>0</v>
      </c>
      <c r="BF86" s="41">
        <v>0</v>
      </c>
      <c r="BG86" s="41">
        <v>0</v>
      </c>
      <c r="BH86" s="41">
        <v>0</v>
      </c>
      <c r="BI86" s="41">
        <v>0</v>
      </c>
      <c r="BJ86" s="46">
        <f t="shared" si="27"/>
        <v>0</v>
      </c>
      <c r="BK86" s="46"/>
      <c r="BL86" s="41">
        <v>0</v>
      </c>
      <c r="BM86" s="41">
        <v>0</v>
      </c>
      <c r="BN86" s="41">
        <v>0</v>
      </c>
      <c r="BO86" s="41">
        <v>0</v>
      </c>
      <c r="BP86" s="41">
        <v>0</v>
      </c>
      <c r="BQ86" s="41">
        <v>0</v>
      </c>
      <c r="BR86" s="41">
        <v>0</v>
      </c>
      <c r="BS86" s="47">
        <f t="shared" si="28"/>
        <v>0</v>
      </c>
      <c r="BT86" s="47"/>
      <c r="BU86" s="44">
        <f t="shared" si="29"/>
        <v>5</v>
      </c>
      <c r="BV86" s="44">
        <f t="shared" si="30"/>
        <v>5</v>
      </c>
      <c r="BW86" s="44">
        <f t="shared" si="31"/>
        <v>10</v>
      </c>
      <c r="BX86" s="44">
        <f t="shared" si="32"/>
        <v>0</v>
      </c>
      <c r="BY86" s="44">
        <f t="shared" si="33"/>
        <v>0</v>
      </c>
      <c r="BZ86" s="44"/>
      <c r="CA86" s="44">
        <f t="shared" si="34"/>
        <v>10</v>
      </c>
      <c r="CB86" s="44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</row>
    <row r="87" spans="1:100" s="49" customFormat="1" ht="15.75" customHeight="1" x14ac:dyDescent="0.25">
      <c r="A87" s="40" t="s">
        <v>531</v>
      </c>
      <c r="B87" s="41" t="s">
        <v>86</v>
      </c>
      <c r="C87" s="41">
        <v>-3353477</v>
      </c>
      <c r="D87" s="41">
        <v>-7061624</v>
      </c>
      <c r="E87" s="41" t="s">
        <v>549</v>
      </c>
      <c r="F87" s="43">
        <v>-33533265</v>
      </c>
      <c r="G87" s="43">
        <v>-70612534</v>
      </c>
      <c r="H87" s="43" t="s">
        <v>94</v>
      </c>
      <c r="I87" s="44">
        <v>1</v>
      </c>
      <c r="J87" s="44">
        <v>0</v>
      </c>
      <c r="K87" s="44">
        <v>0</v>
      </c>
      <c r="L87" s="44">
        <v>1</v>
      </c>
      <c r="M87" s="44">
        <v>1</v>
      </c>
      <c r="N87" s="44">
        <v>1</v>
      </c>
      <c r="O87" s="44">
        <v>1</v>
      </c>
      <c r="P87" s="44">
        <v>0</v>
      </c>
      <c r="Q87" s="44">
        <v>1</v>
      </c>
      <c r="R87" s="44">
        <v>0</v>
      </c>
      <c r="S87" s="44">
        <v>0</v>
      </c>
      <c r="T87" s="44">
        <v>1</v>
      </c>
      <c r="U87" s="44">
        <v>0</v>
      </c>
      <c r="V87" s="44">
        <v>0</v>
      </c>
      <c r="W87" s="44">
        <v>1</v>
      </c>
      <c r="X87" s="44">
        <v>1</v>
      </c>
      <c r="Y87" s="44">
        <v>0</v>
      </c>
      <c r="Z87" s="44">
        <v>0</v>
      </c>
      <c r="AA87" s="44">
        <v>0</v>
      </c>
      <c r="AB87" s="44">
        <v>0</v>
      </c>
      <c r="AC87" s="44">
        <v>1</v>
      </c>
      <c r="AD87" s="44">
        <v>0</v>
      </c>
      <c r="AE87" s="44">
        <v>0</v>
      </c>
      <c r="AF87" s="44">
        <v>0</v>
      </c>
      <c r="AG87" s="44">
        <v>0</v>
      </c>
      <c r="AH87" s="44">
        <v>0</v>
      </c>
      <c r="AI87" s="44">
        <v>0</v>
      </c>
      <c r="AJ87" s="44">
        <v>1</v>
      </c>
      <c r="AK87" s="46">
        <f t="shared" si="25"/>
        <v>11</v>
      </c>
      <c r="AL87" s="46"/>
      <c r="AM87" s="41">
        <v>1</v>
      </c>
      <c r="AN87" s="41">
        <v>0</v>
      </c>
      <c r="AO87" s="41">
        <v>1</v>
      </c>
      <c r="AP87" s="41">
        <v>1</v>
      </c>
      <c r="AQ87" s="41">
        <v>0</v>
      </c>
      <c r="AR87" s="41">
        <v>0</v>
      </c>
      <c r="AS87" s="41"/>
      <c r="AT87" s="41">
        <v>1</v>
      </c>
      <c r="AU87" s="41">
        <v>1</v>
      </c>
      <c r="AV87" s="41">
        <v>1</v>
      </c>
      <c r="AW87" s="41">
        <v>1</v>
      </c>
      <c r="AX87" s="41">
        <v>0</v>
      </c>
      <c r="AY87" s="41">
        <v>0</v>
      </c>
      <c r="AZ87" s="46">
        <f t="shared" si="26"/>
        <v>7</v>
      </c>
      <c r="BA87" s="46"/>
      <c r="BB87" s="41">
        <v>0</v>
      </c>
      <c r="BC87" s="41">
        <v>0</v>
      </c>
      <c r="BD87" s="41">
        <v>0</v>
      </c>
      <c r="BE87" s="41">
        <v>0</v>
      </c>
      <c r="BF87" s="41">
        <v>0</v>
      </c>
      <c r="BG87" s="41">
        <v>0</v>
      </c>
      <c r="BH87" s="41">
        <v>0</v>
      </c>
      <c r="BI87" s="41">
        <v>0</v>
      </c>
      <c r="BJ87" s="46">
        <f t="shared" si="27"/>
        <v>0</v>
      </c>
      <c r="BK87" s="46"/>
      <c r="BL87" s="41">
        <v>0</v>
      </c>
      <c r="BM87" s="41">
        <v>0</v>
      </c>
      <c r="BN87" s="41">
        <v>0</v>
      </c>
      <c r="BO87" s="41">
        <v>0</v>
      </c>
      <c r="BP87" s="41">
        <v>0</v>
      </c>
      <c r="BQ87" s="41">
        <v>0</v>
      </c>
      <c r="BR87" s="41">
        <v>0</v>
      </c>
      <c r="BS87" s="47">
        <f t="shared" si="28"/>
        <v>0</v>
      </c>
      <c r="BT87" s="47"/>
      <c r="BU87" s="44">
        <f t="shared" si="29"/>
        <v>11</v>
      </c>
      <c r="BV87" s="44">
        <f t="shared" si="30"/>
        <v>7</v>
      </c>
      <c r="BW87" s="44">
        <f t="shared" si="31"/>
        <v>18</v>
      </c>
      <c r="BX87" s="44">
        <f t="shared" si="32"/>
        <v>0</v>
      </c>
      <c r="BY87" s="44">
        <f t="shared" si="33"/>
        <v>0</v>
      </c>
      <c r="BZ87" s="44"/>
      <c r="CA87" s="44">
        <f t="shared" si="34"/>
        <v>18</v>
      </c>
      <c r="CB87" s="44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</row>
    <row r="88" spans="1:100" s="49" customFormat="1" ht="15.75" customHeight="1" x14ac:dyDescent="0.25">
      <c r="A88" s="40" t="s">
        <v>531</v>
      </c>
      <c r="B88" s="41" t="s">
        <v>86</v>
      </c>
      <c r="C88" s="41">
        <v>-3353477</v>
      </c>
      <c r="D88" s="41">
        <v>-7061624</v>
      </c>
      <c r="E88" s="41" t="s">
        <v>550</v>
      </c>
      <c r="F88" s="43">
        <v>-33533247</v>
      </c>
      <c r="G88" s="43">
        <v>-70616786</v>
      </c>
      <c r="H88" s="43" t="s">
        <v>551</v>
      </c>
      <c r="I88" s="44">
        <v>0</v>
      </c>
      <c r="J88" s="44">
        <v>0</v>
      </c>
      <c r="K88" s="44">
        <v>0</v>
      </c>
      <c r="L88" s="44">
        <v>1</v>
      </c>
      <c r="M88" s="44">
        <v>0</v>
      </c>
      <c r="N88" s="44">
        <v>1</v>
      </c>
      <c r="O88" s="44">
        <v>1</v>
      </c>
      <c r="P88" s="44">
        <v>0</v>
      </c>
      <c r="Q88" s="44">
        <v>1</v>
      </c>
      <c r="R88" s="44">
        <v>1</v>
      </c>
      <c r="S88" s="44">
        <v>0</v>
      </c>
      <c r="T88" s="44">
        <v>1</v>
      </c>
      <c r="U88" s="44">
        <v>1</v>
      </c>
      <c r="V88" s="44">
        <v>0</v>
      </c>
      <c r="W88" s="44">
        <v>1</v>
      </c>
      <c r="X88" s="44">
        <v>1</v>
      </c>
      <c r="Y88" s="44">
        <v>1</v>
      </c>
      <c r="Z88" s="44">
        <v>1</v>
      </c>
      <c r="AA88" s="44">
        <v>1</v>
      </c>
      <c r="AB88" s="44">
        <v>0</v>
      </c>
      <c r="AC88" s="44">
        <v>1</v>
      </c>
      <c r="AD88" s="44">
        <v>1</v>
      </c>
      <c r="AE88" s="44">
        <v>0</v>
      </c>
      <c r="AF88" s="44">
        <v>1</v>
      </c>
      <c r="AG88" s="44">
        <v>1</v>
      </c>
      <c r="AH88" s="44">
        <v>1</v>
      </c>
      <c r="AI88" s="44">
        <v>1</v>
      </c>
      <c r="AJ88" s="44">
        <v>1</v>
      </c>
      <c r="AK88" s="46">
        <f t="shared" si="25"/>
        <v>19</v>
      </c>
      <c r="AL88" s="46"/>
      <c r="AM88" s="41">
        <v>1</v>
      </c>
      <c r="AN88" s="41">
        <v>1</v>
      </c>
      <c r="AO88" s="41">
        <v>1</v>
      </c>
      <c r="AP88" s="41">
        <v>1</v>
      </c>
      <c r="AQ88" s="41">
        <v>1</v>
      </c>
      <c r="AR88" s="41">
        <v>1</v>
      </c>
      <c r="AS88" s="41">
        <v>1</v>
      </c>
      <c r="AT88" s="41">
        <v>1</v>
      </c>
      <c r="AU88" s="41">
        <v>1</v>
      </c>
      <c r="AV88" s="41">
        <v>0</v>
      </c>
      <c r="AW88" s="41">
        <v>1</v>
      </c>
      <c r="AX88" s="41">
        <v>1</v>
      </c>
      <c r="AY88" s="41">
        <v>1</v>
      </c>
      <c r="AZ88" s="46">
        <f t="shared" si="26"/>
        <v>12</v>
      </c>
      <c r="BA88" s="46"/>
      <c r="BB88" s="41">
        <v>0</v>
      </c>
      <c r="BC88" s="41">
        <v>0</v>
      </c>
      <c r="BD88" s="41">
        <v>1</v>
      </c>
      <c r="BE88" s="41">
        <v>1</v>
      </c>
      <c r="BF88" s="41">
        <v>1</v>
      </c>
      <c r="BG88" s="41">
        <v>1</v>
      </c>
      <c r="BH88" s="41">
        <v>0</v>
      </c>
      <c r="BI88" s="41">
        <v>1</v>
      </c>
      <c r="BJ88" s="46">
        <f t="shared" si="27"/>
        <v>5</v>
      </c>
      <c r="BK88" s="46"/>
      <c r="BL88" s="41">
        <v>1</v>
      </c>
      <c r="BM88" s="41">
        <v>0</v>
      </c>
      <c r="BN88" s="41">
        <v>0</v>
      </c>
      <c r="BO88" s="41">
        <v>1</v>
      </c>
      <c r="BP88" s="41">
        <v>0</v>
      </c>
      <c r="BQ88" s="41">
        <v>1</v>
      </c>
      <c r="BR88" s="41">
        <v>0</v>
      </c>
      <c r="BS88" s="47">
        <f t="shared" si="28"/>
        <v>3</v>
      </c>
      <c r="BT88" s="47"/>
      <c r="BU88" s="44">
        <f t="shared" si="29"/>
        <v>19</v>
      </c>
      <c r="BV88" s="44">
        <f t="shared" si="30"/>
        <v>12</v>
      </c>
      <c r="BW88" s="44">
        <f t="shared" si="31"/>
        <v>31</v>
      </c>
      <c r="BX88" s="44">
        <f t="shared" si="32"/>
        <v>5</v>
      </c>
      <c r="BY88" s="44">
        <f t="shared" si="33"/>
        <v>3</v>
      </c>
      <c r="BZ88" s="44"/>
      <c r="CA88" s="44">
        <f t="shared" si="34"/>
        <v>39</v>
      </c>
      <c r="CB88" s="44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</row>
    <row r="89" spans="1:100" s="49" customFormat="1" ht="15.75" customHeight="1" x14ac:dyDescent="0.25">
      <c r="A89" s="40" t="s">
        <v>531</v>
      </c>
      <c r="B89" s="41" t="s">
        <v>86</v>
      </c>
      <c r="C89" s="41">
        <v>-33533254</v>
      </c>
      <c r="D89" s="41">
        <v>-70616953</v>
      </c>
      <c r="E89" s="41" t="s">
        <v>552</v>
      </c>
      <c r="F89" s="41">
        <v>-33533254</v>
      </c>
      <c r="G89" s="41">
        <v>-70616953</v>
      </c>
      <c r="H89" s="43" t="s">
        <v>94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6">
        <f t="shared" si="25"/>
        <v>0</v>
      </c>
      <c r="AL89" s="46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6">
        <f t="shared" si="26"/>
        <v>0</v>
      </c>
      <c r="BA89" s="46"/>
      <c r="BB89" s="41"/>
      <c r="BC89" s="41"/>
      <c r="BD89" s="41"/>
      <c r="BE89" s="41"/>
      <c r="BF89" s="41"/>
      <c r="BG89" s="41"/>
      <c r="BH89" s="41"/>
      <c r="BI89" s="41"/>
      <c r="BJ89" s="46">
        <f t="shared" si="27"/>
        <v>0</v>
      </c>
      <c r="BK89" s="46"/>
      <c r="BL89" s="41"/>
      <c r="BM89" s="41"/>
      <c r="BN89" s="41"/>
      <c r="BO89" s="41"/>
      <c r="BP89" s="41"/>
      <c r="BQ89" s="41"/>
      <c r="BR89" s="41"/>
      <c r="BS89" s="47">
        <f t="shared" si="28"/>
        <v>0</v>
      </c>
      <c r="BT89" s="47"/>
      <c r="BU89" s="44">
        <f t="shared" si="29"/>
        <v>0</v>
      </c>
      <c r="BV89" s="44">
        <f t="shared" si="30"/>
        <v>0</v>
      </c>
      <c r="BW89" s="44">
        <f t="shared" si="31"/>
        <v>0</v>
      </c>
      <c r="BX89" s="44">
        <f t="shared" si="32"/>
        <v>0</v>
      </c>
      <c r="BY89" s="44">
        <f t="shared" si="33"/>
        <v>0</v>
      </c>
      <c r="BZ89" s="44"/>
      <c r="CA89" s="44">
        <f t="shared" si="34"/>
        <v>0</v>
      </c>
      <c r="CB89" s="44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</row>
    <row r="90" spans="1:100" s="49" customFormat="1" ht="15.75" customHeight="1" x14ac:dyDescent="0.25">
      <c r="A90" s="40" t="s">
        <v>531</v>
      </c>
      <c r="B90" s="41" t="s">
        <v>86</v>
      </c>
      <c r="C90" s="41">
        <v>-3353477</v>
      </c>
      <c r="D90" s="41">
        <v>-7061624</v>
      </c>
      <c r="E90" s="41" t="s">
        <v>553</v>
      </c>
      <c r="F90" s="43">
        <v>-33532292</v>
      </c>
      <c r="G90" s="43">
        <v>-70615949</v>
      </c>
      <c r="H90" s="43" t="s">
        <v>554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0</v>
      </c>
      <c r="W90" s="44">
        <v>1</v>
      </c>
      <c r="X90" s="44">
        <v>1</v>
      </c>
      <c r="Y90" s="44">
        <v>0</v>
      </c>
      <c r="Z90" s="44">
        <v>0</v>
      </c>
      <c r="AA90" s="44">
        <v>0</v>
      </c>
      <c r="AB90" s="44">
        <v>0</v>
      </c>
      <c r="AC90" s="44">
        <v>1</v>
      </c>
      <c r="AD90" s="44">
        <v>0</v>
      </c>
      <c r="AE90" s="44">
        <v>0</v>
      </c>
      <c r="AF90" s="44">
        <v>1</v>
      </c>
      <c r="AG90" s="44">
        <v>1</v>
      </c>
      <c r="AH90" s="44">
        <v>0</v>
      </c>
      <c r="AI90" s="44">
        <v>0</v>
      </c>
      <c r="AJ90" s="44">
        <v>0</v>
      </c>
      <c r="AK90" s="46">
        <f t="shared" si="25"/>
        <v>5</v>
      </c>
      <c r="AL90" s="46"/>
      <c r="AM90" s="41">
        <v>1</v>
      </c>
      <c r="AN90" s="41">
        <v>0</v>
      </c>
      <c r="AO90" s="41"/>
      <c r="AP90" s="41">
        <v>1</v>
      </c>
      <c r="AQ90" s="41">
        <v>0</v>
      </c>
      <c r="AR90" s="41">
        <v>0</v>
      </c>
      <c r="AS90" s="41">
        <v>1</v>
      </c>
      <c r="AT90" s="41">
        <v>0</v>
      </c>
      <c r="AU90" s="41">
        <v>0</v>
      </c>
      <c r="AV90" s="41">
        <v>0</v>
      </c>
      <c r="AW90" s="41">
        <v>1</v>
      </c>
      <c r="AX90" s="41">
        <v>1</v>
      </c>
      <c r="AY90" s="41">
        <v>1</v>
      </c>
      <c r="AZ90" s="46">
        <f t="shared" si="26"/>
        <v>6</v>
      </c>
      <c r="BA90" s="46"/>
      <c r="BB90" s="41">
        <v>0</v>
      </c>
      <c r="BC90" s="41">
        <v>0</v>
      </c>
      <c r="BD90" s="41">
        <v>0</v>
      </c>
      <c r="BE90" s="41">
        <v>0</v>
      </c>
      <c r="BF90" s="41">
        <v>0</v>
      </c>
      <c r="BG90" s="41">
        <v>0</v>
      </c>
      <c r="BH90" s="41">
        <v>0</v>
      </c>
      <c r="BI90" s="41">
        <v>0</v>
      </c>
      <c r="BJ90" s="46">
        <f t="shared" si="27"/>
        <v>0</v>
      </c>
      <c r="BK90" s="46"/>
      <c r="BL90" s="41">
        <v>0</v>
      </c>
      <c r="BM90" s="41">
        <v>0</v>
      </c>
      <c r="BN90" s="41">
        <v>0</v>
      </c>
      <c r="BO90" s="41">
        <v>0</v>
      </c>
      <c r="BP90" s="41">
        <v>0</v>
      </c>
      <c r="BQ90" s="41">
        <v>0</v>
      </c>
      <c r="BR90" s="41">
        <v>0</v>
      </c>
      <c r="BS90" s="47">
        <f t="shared" si="28"/>
        <v>0</v>
      </c>
      <c r="BT90" s="47"/>
      <c r="BU90" s="44">
        <f t="shared" si="29"/>
        <v>5</v>
      </c>
      <c r="BV90" s="44">
        <f t="shared" si="30"/>
        <v>6</v>
      </c>
      <c r="BW90" s="44">
        <f t="shared" si="31"/>
        <v>11</v>
      </c>
      <c r="BX90" s="44">
        <f t="shared" si="32"/>
        <v>0</v>
      </c>
      <c r="BY90" s="44">
        <f t="shared" si="33"/>
        <v>0</v>
      </c>
      <c r="BZ90" s="44"/>
      <c r="CA90" s="44">
        <f t="shared" si="34"/>
        <v>11</v>
      </c>
      <c r="CB90" s="44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</row>
    <row r="91" spans="1:100" s="49" customFormat="1" ht="15.75" customHeight="1" x14ac:dyDescent="0.25">
      <c r="A91" s="40" t="s">
        <v>531</v>
      </c>
      <c r="B91" s="41" t="s">
        <v>86</v>
      </c>
      <c r="C91" s="41">
        <v>-33532271</v>
      </c>
      <c r="D91" s="41">
        <v>-70615931</v>
      </c>
      <c r="E91" s="41" t="s">
        <v>555</v>
      </c>
      <c r="F91" s="41">
        <v>-33532271</v>
      </c>
      <c r="G91" s="41">
        <v>-70615931</v>
      </c>
      <c r="H91" s="43" t="s">
        <v>94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6">
        <f t="shared" si="25"/>
        <v>0</v>
      </c>
      <c r="AL91" s="46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6">
        <f t="shared" si="26"/>
        <v>0</v>
      </c>
      <c r="BA91" s="46"/>
      <c r="BB91" s="41"/>
      <c r="BC91" s="41"/>
      <c r="BD91" s="41"/>
      <c r="BE91" s="41"/>
      <c r="BF91" s="41"/>
      <c r="BG91" s="41"/>
      <c r="BH91" s="41"/>
      <c r="BI91" s="41"/>
      <c r="BJ91" s="46">
        <f t="shared" si="27"/>
        <v>0</v>
      </c>
      <c r="BK91" s="46"/>
      <c r="BL91" s="41"/>
      <c r="BM91" s="41"/>
      <c r="BN91" s="41"/>
      <c r="BO91" s="41"/>
      <c r="BP91" s="41"/>
      <c r="BQ91" s="41"/>
      <c r="BR91" s="41"/>
      <c r="BS91" s="47">
        <f t="shared" si="28"/>
        <v>0</v>
      </c>
      <c r="BT91" s="47"/>
      <c r="BU91" s="44">
        <f t="shared" si="29"/>
        <v>0</v>
      </c>
      <c r="BV91" s="44">
        <f t="shared" si="30"/>
        <v>0</v>
      </c>
      <c r="BW91" s="44">
        <f t="shared" si="31"/>
        <v>0</v>
      </c>
      <c r="BX91" s="44">
        <f t="shared" si="32"/>
        <v>0</v>
      </c>
      <c r="BY91" s="44">
        <f t="shared" si="33"/>
        <v>0</v>
      </c>
      <c r="BZ91" s="44"/>
      <c r="CA91" s="44">
        <f t="shared" si="34"/>
        <v>0</v>
      </c>
      <c r="CB91" s="44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</row>
    <row r="92" spans="1:100" s="49" customFormat="1" ht="15.75" customHeight="1" x14ac:dyDescent="0.25">
      <c r="A92" s="40" t="s">
        <v>531</v>
      </c>
      <c r="B92" s="41" t="s">
        <v>86</v>
      </c>
      <c r="C92" s="41">
        <v>-3353477</v>
      </c>
      <c r="D92" s="41">
        <v>-7061624</v>
      </c>
      <c r="E92" s="41" t="s">
        <v>556</v>
      </c>
      <c r="F92" s="43">
        <v>-3353149</v>
      </c>
      <c r="G92" s="43">
        <v>-70616483</v>
      </c>
      <c r="H92" s="43" t="s">
        <v>557</v>
      </c>
      <c r="I92" s="44">
        <v>0</v>
      </c>
      <c r="J92" s="44">
        <v>0</v>
      </c>
      <c r="K92" s="44">
        <v>0</v>
      </c>
      <c r="L92" s="44">
        <v>0</v>
      </c>
      <c r="M92" s="44">
        <v>1</v>
      </c>
      <c r="N92" s="44">
        <v>1</v>
      </c>
      <c r="O92" s="44">
        <v>0</v>
      </c>
      <c r="P92" s="44">
        <v>0</v>
      </c>
      <c r="Q92" s="44">
        <v>0</v>
      </c>
      <c r="R92" s="44">
        <v>1</v>
      </c>
      <c r="S92" s="44">
        <v>1</v>
      </c>
      <c r="T92" s="44">
        <v>0</v>
      </c>
      <c r="U92" s="44">
        <v>1</v>
      </c>
      <c r="V92" s="44">
        <v>0</v>
      </c>
      <c r="W92" s="44">
        <v>0</v>
      </c>
      <c r="X92" s="44">
        <v>1</v>
      </c>
      <c r="Y92" s="44">
        <v>0</v>
      </c>
      <c r="Z92" s="44">
        <v>0</v>
      </c>
      <c r="AA92" s="44">
        <v>0</v>
      </c>
      <c r="AB92" s="44">
        <v>0</v>
      </c>
      <c r="AC92" s="44">
        <v>1</v>
      </c>
      <c r="AD92" s="44">
        <v>1</v>
      </c>
      <c r="AE92" s="44">
        <v>0</v>
      </c>
      <c r="AF92" s="44">
        <v>1</v>
      </c>
      <c r="AG92" s="44">
        <v>1</v>
      </c>
      <c r="AH92" s="44">
        <v>0</v>
      </c>
      <c r="AI92" s="44">
        <v>0</v>
      </c>
      <c r="AJ92" s="44">
        <v>0</v>
      </c>
      <c r="AK92" s="46">
        <f t="shared" si="25"/>
        <v>10</v>
      </c>
      <c r="AL92" s="46"/>
      <c r="AM92" s="41">
        <v>0</v>
      </c>
      <c r="AN92" s="41">
        <v>0</v>
      </c>
      <c r="AO92" s="41">
        <v>0</v>
      </c>
      <c r="AP92" s="41">
        <v>0</v>
      </c>
      <c r="AQ92" s="41">
        <v>1</v>
      </c>
      <c r="AR92" s="41">
        <v>0</v>
      </c>
      <c r="AS92" s="41">
        <v>0</v>
      </c>
      <c r="AT92" s="41">
        <v>0</v>
      </c>
      <c r="AU92" s="41">
        <v>0</v>
      </c>
      <c r="AV92" s="41">
        <v>0</v>
      </c>
      <c r="AW92" s="41">
        <v>1</v>
      </c>
      <c r="AX92" s="41">
        <v>1</v>
      </c>
      <c r="AY92" s="41">
        <v>0</v>
      </c>
      <c r="AZ92" s="46">
        <f t="shared" si="26"/>
        <v>3</v>
      </c>
      <c r="BA92" s="46"/>
      <c r="BB92" s="41">
        <v>0</v>
      </c>
      <c r="BC92" s="41">
        <v>0</v>
      </c>
      <c r="BD92" s="41">
        <v>0</v>
      </c>
      <c r="BE92" s="41">
        <v>0</v>
      </c>
      <c r="BF92" s="41">
        <v>0</v>
      </c>
      <c r="BG92" s="41">
        <v>1</v>
      </c>
      <c r="BH92" s="41">
        <v>0</v>
      </c>
      <c r="BI92" s="41">
        <v>0</v>
      </c>
      <c r="BJ92" s="46">
        <f t="shared" si="27"/>
        <v>1</v>
      </c>
      <c r="BK92" s="46"/>
      <c r="BL92" s="41">
        <v>0</v>
      </c>
      <c r="BM92" s="41">
        <v>0</v>
      </c>
      <c r="BN92" s="41">
        <v>0</v>
      </c>
      <c r="BO92" s="41">
        <v>0</v>
      </c>
      <c r="BP92" s="41">
        <v>0</v>
      </c>
      <c r="BQ92" s="41">
        <v>0</v>
      </c>
      <c r="BR92" s="41">
        <v>0</v>
      </c>
      <c r="BS92" s="47">
        <f t="shared" si="28"/>
        <v>0</v>
      </c>
      <c r="BT92" s="47"/>
      <c r="BU92" s="44">
        <f t="shared" si="29"/>
        <v>10</v>
      </c>
      <c r="BV92" s="44">
        <f t="shared" si="30"/>
        <v>3</v>
      </c>
      <c r="BW92" s="44">
        <f t="shared" si="31"/>
        <v>13</v>
      </c>
      <c r="BX92" s="44">
        <f t="shared" si="32"/>
        <v>1</v>
      </c>
      <c r="BY92" s="44">
        <f t="shared" si="33"/>
        <v>0</v>
      </c>
      <c r="BZ92" s="44"/>
      <c r="CA92" s="44">
        <f t="shared" si="34"/>
        <v>14</v>
      </c>
      <c r="CB92" s="44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</row>
    <row r="93" spans="1:100" s="49" customFormat="1" ht="15.75" customHeight="1" x14ac:dyDescent="0.25">
      <c r="A93" s="40" t="s">
        <v>531</v>
      </c>
      <c r="B93" s="41" t="s">
        <v>86</v>
      </c>
      <c r="C93" s="41">
        <v>-3353477</v>
      </c>
      <c r="D93" s="41">
        <v>-7061624</v>
      </c>
      <c r="E93" s="41" t="s">
        <v>558</v>
      </c>
      <c r="F93" s="43">
        <v>-33531672</v>
      </c>
      <c r="G93" s="43">
        <v>-70618116</v>
      </c>
      <c r="H93" s="43" t="s">
        <v>559</v>
      </c>
      <c r="I93" s="44">
        <v>0</v>
      </c>
      <c r="J93" s="44">
        <v>0</v>
      </c>
      <c r="K93" s="44">
        <v>0</v>
      </c>
      <c r="L93" s="44">
        <v>1</v>
      </c>
      <c r="M93" s="44">
        <v>1</v>
      </c>
      <c r="N93" s="44">
        <v>1</v>
      </c>
      <c r="O93" s="44">
        <v>1</v>
      </c>
      <c r="P93" s="44">
        <v>0</v>
      </c>
      <c r="Q93" s="44">
        <v>1</v>
      </c>
      <c r="R93" s="44">
        <v>1</v>
      </c>
      <c r="S93" s="44">
        <v>1</v>
      </c>
      <c r="T93" s="44">
        <v>1</v>
      </c>
      <c r="U93" s="44">
        <v>1</v>
      </c>
      <c r="V93" s="44">
        <v>1</v>
      </c>
      <c r="W93" s="44">
        <v>1</v>
      </c>
      <c r="X93" s="44">
        <v>1</v>
      </c>
      <c r="Y93" s="44">
        <v>0</v>
      </c>
      <c r="Z93" s="44">
        <v>0</v>
      </c>
      <c r="AA93" s="44">
        <v>0</v>
      </c>
      <c r="AB93" s="44">
        <v>0</v>
      </c>
      <c r="AC93" s="44">
        <v>1</v>
      </c>
      <c r="AD93" s="44">
        <v>1</v>
      </c>
      <c r="AE93" s="44">
        <v>0</v>
      </c>
      <c r="AF93" s="44">
        <v>1</v>
      </c>
      <c r="AG93" s="44">
        <v>1</v>
      </c>
      <c r="AH93" s="44">
        <v>0</v>
      </c>
      <c r="AI93" s="44">
        <v>0</v>
      </c>
      <c r="AJ93" s="44">
        <v>0</v>
      </c>
      <c r="AK93" s="46">
        <f t="shared" si="25"/>
        <v>16</v>
      </c>
      <c r="AL93" s="46"/>
      <c r="AM93" s="41">
        <v>1</v>
      </c>
      <c r="AN93" s="41">
        <v>1</v>
      </c>
      <c r="AO93" s="41">
        <v>1</v>
      </c>
      <c r="AP93" s="41">
        <v>1</v>
      </c>
      <c r="AQ93" s="41">
        <v>1</v>
      </c>
      <c r="AR93" s="41">
        <v>1</v>
      </c>
      <c r="AS93" s="41">
        <v>1</v>
      </c>
      <c r="AT93" s="41">
        <v>1</v>
      </c>
      <c r="AU93" s="41">
        <v>1</v>
      </c>
      <c r="AV93" s="41">
        <v>0</v>
      </c>
      <c r="AW93" s="41">
        <v>1</v>
      </c>
      <c r="AX93" s="41">
        <v>1</v>
      </c>
      <c r="AY93" s="41">
        <v>1</v>
      </c>
      <c r="AZ93" s="46">
        <f t="shared" si="26"/>
        <v>12</v>
      </c>
      <c r="BA93" s="46"/>
      <c r="BB93" s="41">
        <v>0</v>
      </c>
      <c r="BC93" s="41">
        <v>0</v>
      </c>
      <c r="BD93" s="41">
        <v>0</v>
      </c>
      <c r="BE93" s="41">
        <v>0</v>
      </c>
      <c r="BF93" s="41">
        <v>0</v>
      </c>
      <c r="BG93" s="41">
        <v>0</v>
      </c>
      <c r="BH93" s="41">
        <v>0</v>
      </c>
      <c r="BI93" s="41">
        <v>0</v>
      </c>
      <c r="BJ93" s="46">
        <f t="shared" si="27"/>
        <v>0</v>
      </c>
      <c r="BK93" s="46"/>
      <c r="BL93" s="41">
        <v>0</v>
      </c>
      <c r="BM93" s="41">
        <v>0</v>
      </c>
      <c r="BN93" s="41">
        <v>0</v>
      </c>
      <c r="BO93" s="41">
        <v>0</v>
      </c>
      <c r="BP93" s="41">
        <v>0</v>
      </c>
      <c r="BQ93" s="41">
        <v>0</v>
      </c>
      <c r="BR93" s="41">
        <v>0</v>
      </c>
      <c r="BS93" s="47">
        <f t="shared" si="28"/>
        <v>0</v>
      </c>
      <c r="BT93" s="47"/>
      <c r="BU93" s="44">
        <f t="shared" si="29"/>
        <v>16</v>
      </c>
      <c r="BV93" s="44">
        <f t="shared" si="30"/>
        <v>12</v>
      </c>
      <c r="BW93" s="44">
        <f t="shared" si="31"/>
        <v>28</v>
      </c>
      <c r="BX93" s="44">
        <f t="shared" si="32"/>
        <v>0</v>
      </c>
      <c r="BY93" s="44">
        <f t="shared" si="33"/>
        <v>0</v>
      </c>
      <c r="BZ93" s="44"/>
      <c r="CA93" s="44">
        <f t="shared" si="34"/>
        <v>28</v>
      </c>
      <c r="CB93" s="44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</row>
    <row r="94" spans="1:100" s="49" customFormat="1" ht="15.75" customHeight="1" x14ac:dyDescent="0.25">
      <c r="A94" s="40" t="s">
        <v>531</v>
      </c>
      <c r="B94" s="41" t="s">
        <v>517</v>
      </c>
      <c r="C94" s="41">
        <v>-33531668</v>
      </c>
      <c r="D94" s="41">
        <v>-70617645</v>
      </c>
      <c r="E94" s="41" t="s">
        <v>560</v>
      </c>
      <c r="F94" s="41">
        <v>-33531668</v>
      </c>
      <c r="G94" s="41">
        <v>-70617645</v>
      </c>
      <c r="H94" s="43" t="s">
        <v>96</v>
      </c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6">
        <f t="shared" si="25"/>
        <v>0</v>
      </c>
      <c r="AL94" s="46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6">
        <f t="shared" si="26"/>
        <v>0</v>
      </c>
      <c r="BA94" s="46"/>
      <c r="BB94" s="41"/>
      <c r="BC94" s="41"/>
      <c r="BD94" s="41"/>
      <c r="BE94" s="41"/>
      <c r="BF94" s="41"/>
      <c r="BG94" s="41"/>
      <c r="BH94" s="41"/>
      <c r="BI94" s="41"/>
      <c r="BJ94" s="46">
        <f t="shared" si="27"/>
        <v>0</v>
      </c>
      <c r="BK94" s="46"/>
      <c r="BL94" s="41"/>
      <c r="BM94" s="41"/>
      <c r="BN94" s="41"/>
      <c r="BO94" s="41"/>
      <c r="BP94" s="41"/>
      <c r="BQ94" s="41"/>
      <c r="BR94" s="41"/>
      <c r="BS94" s="47">
        <f t="shared" si="28"/>
        <v>0</v>
      </c>
      <c r="BT94" s="47"/>
      <c r="BU94" s="44">
        <f t="shared" si="29"/>
        <v>0</v>
      </c>
      <c r="BV94" s="44">
        <f t="shared" si="30"/>
        <v>0</v>
      </c>
      <c r="BW94" s="44">
        <f t="shared" si="31"/>
        <v>0</v>
      </c>
      <c r="BX94" s="44">
        <f t="shared" si="32"/>
        <v>0</v>
      </c>
      <c r="BY94" s="44">
        <f t="shared" si="33"/>
        <v>0</v>
      </c>
      <c r="BZ94" s="44"/>
      <c r="CA94" s="44">
        <f t="shared" si="34"/>
        <v>0</v>
      </c>
      <c r="CB94" s="44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</row>
    <row r="95" spans="1:100" s="49" customFormat="1" ht="15.75" customHeight="1" x14ac:dyDescent="0.25">
      <c r="A95" s="40" t="s">
        <v>531</v>
      </c>
      <c r="B95" s="41" t="s">
        <v>517</v>
      </c>
      <c r="C95" s="41">
        <v>-33531697</v>
      </c>
      <c r="D95" s="41">
        <v>-70618338</v>
      </c>
      <c r="E95" s="41" t="s">
        <v>561</v>
      </c>
      <c r="F95" s="41">
        <v>-33531697</v>
      </c>
      <c r="G95" s="41">
        <v>-70618338</v>
      </c>
      <c r="H95" s="43" t="s">
        <v>94</v>
      </c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6">
        <f t="shared" si="25"/>
        <v>0</v>
      </c>
      <c r="AL95" s="46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6">
        <f t="shared" si="26"/>
        <v>0</v>
      </c>
      <c r="BA95" s="46"/>
      <c r="BB95" s="41"/>
      <c r="BC95" s="41"/>
      <c r="BD95" s="41"/>
      <c r="BE95" s="41"/>
      <c r="BF95" s="41"/>
      <c r="BG95" s="41"/>
      <c r="BH95" s="41"/>
      <c r="BI95" s="41"/>
      <c r="BJ95" s="46">
        <f t="shared" si="27"/>
        <v>0</v>
      </c>
      <c r="BK95" s="46"/>
      <c r="BL95" s="41"/>
      <c r="BM95" s="41"/>
      <c r="BN95" s="41"/>
      <c r="BO95" s="41"/>
      <c r="BP95" s="41"/>
      <c r="BQ95" s="41"/>
      <c r="BR95" s="41"/>
      <c r="BS95" s="47">
        <f t="shared" si="28"/>
        <v>0</v>
      </c>
      <c r="BT95" s="47"/>
      <c r="BU95" s="44">
        <f t="shared" si="29"/>
        <v>0</v>
      </c>
      <c r="BV95" s="44">
        <f t="shared" si="30"/>
        <v>0</v>
      </c>
      <c r="BW95" s="44">
        <f t="shared" si="31"/>
        <v>0</v>
      </c>
      <c r="BX95" s="44">
        <f t="shared" si="32"/>
        <v>0</v>
      </c>
      <c r="BY95" s="44">
        <f t="shared" si="33"/>
        <v>0</v>
      </c>
      <c r="BZ95" s="44"/>
      <c r="CA95" s="44">
        <f t="shared" si="34"/>
        <v>0</v>
      </c>
      <c r="CB95" s="44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</row>
    <row r="96" spans="1:100" s="49" customFormat="1" ht="15.75" customHeight="1" x14ac:dyDescent="0.25">
      <c r="A96" s="40" t="s">
        <v>531</v>
      </c>
      <c r="B96" s="41" t="s">
        <v>517</v>
      </c>
      <c r="C96" s="41">
        <v>-33531454</v>
      </c>
      <c r="D96" s="41">
        <v>-70531454</v>
      </c>
      <c r="E96" s="41" t="s">
        <v>562</v>
      </c>
      <c r="F96" s="41">
        <v>-33531454</v>
      </c>
      <c r="G96" s="41">
        <v>-70531454</v>
      </c>
      <c r="H96" s="43" t="s">
        <v>96</v>
      </c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6">
        <f t="shared" si="25"/>
        <v>0</v>
      </c>
      <c r="AL96" s="46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6">
        <f t="shared" si="26"/>
        <v>0</v>
      </c>
      <c r="BA96" s="46"/>
      <c r="BB96" s="41"/>
      <c r="BC96" s="41"/>
      <c r="BD96" s="41"/>
      <c r="BE96" s="41"/>
      <c r="BF96" s="41"/>
      <c r="BG96" s="41"/>
      <c r="BH96" s="41"/>
      <c r="BI96" s="41"/>
      <c r="BJ96" s="46">
        <f t="shared" si="27"/>
        <v>0</v>
      </c>
      <c r="BK96" s="46"/>
      <c r="BL96" s="41"/>
      <c r="BM96" s="41"/>
      <c r="BN96" s="41"/>
      <c r="BO96" s="41"/>
      <c r="BP96" s="41"/>
      <c r="BQ96" s="41"/>
      <c r="BR96" s="41"/>
      <c r="BS96" s="47">
        <f t="shared" si="28"/>
        <v>0</v>
      </c>
      <c r="BT96" s="47"/>
      <c r="BU96" s="44">
        <f t="shared" si="29"/>
        <v>0</v>
      </c>
      <c r="BV96" s="44">
        <f t="shared" si="30"/>
        <v>0</v>
      </c>
      <c r="BW96" s="44">
        <f t="shared" si="31"/>
        <v>0</v>
      </c>
      <c r="BX96" s="44">
        <f t="shared" si="32"/>
        <v>0</v>
      </c>
      <c r="BY96" s="44">
        <f t="shared" si="33"/>
        <v>0</v>
      </c>
      <c r="BZ96" s="44"/>
      <c r="CA96" s="44">
        <f t="shared" si="34"/>
        <v>0</v>
      </c>
      <c r="CB96" s="44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</row>
    <row r="97" spans="1:100" s="49" customFormat="1" ht="13.5" customHeight="1" x14ac:dyDescent="0.25">
      <c r="A97" s="40" t="s">
        <v>531</v>
      </c>
      <c r="B97" s="41" t="s">
        <v>86</v>
      </c>
      <c r="C97" s="41">
        <v>-3353477</v>
      </c>
      <c r="D97" s="41">
        <v>-7061624</v>
      </c>
      <c r="E97" s="41" t="s">
        <v>563</v>
      </c>
      <c r="F97" s="43">
        <v>-33531424</v>
      </c>
      <c r="G97" s="43">
        <v>-70614713</v>
      </c>
      <c r="H97" s="43" t="s">
        <v>564</v>
      </c>
      <c r="I97" s="44">
        <v>0</v>
      </c>
      <c r="J97" s="44">
        <v>0</v>
      </c>
      <c r="K97" s="44">
        <v>0</v>
      </c>
      <c r="L97" s="44">
        <v>1</v>
      </c>
      <c r="M97" s="44">
        <v>1</v>
      </c>
      <c r="N97" s="44">
        <v>1</v>
      </c>
      <c r="O97" s="44">
        <v>1</v>
      </c>
      <c r="P97" s="44">
        <v>0</v>
      </c>
      <c r="Q97" s="44">
        <v>1</v>
      </c>
      <c r="R97" s="44">
        <v>0</v>
      </c>
      <c r="S97" s="44">
        <v>1</v>
      </c>
      <c r="T97" s="44">
        <v>1</v>
      </c>
      <c r="U97" s="44">
        <v>1</v>
      </c>
      <c r="V97" s="44">
        <v>0</v>
      </c>
      <c r="W97" s="44">
        <v>1</v>
      </c>
      <c r="X97" s="44">
        <v>1</v>
      </c>
      <c r="Y97" s="44">
        <v>0</v>
      </c>
      <c r="Z97" s="44">
        <v>0</v>
      </c>
      <c r="AA97" s="44">
        <v>0</v>
      </c>
      <c r="AB97" s="44">
        <v>0</v>
      </c>
      <c r="AC97" s="44">
        <v>1</v>
      </c>
      <c r="AD97" s="44">
        <v>1</v>
      </c>
      <c r="AE97" s="44">
        <v>0</v>
      </c>
      <c r="AF97" s="44">
        <v>1</v>
      </c>
      <c r="AG97" s="44">
        <v>1</v>
      </c>
      <c r="AH97" s="44">
        <v>1</v>
      </c>
      <c r="AI97" s="44">
        <v>0</v>
      </c>
      <c r="AJ97" s="44">
        <v>0</v>
      </c>
      <c r="AK97" s="46">
        <f t="shared" si="25"/>
        <v>15</v>
      </c>
      <c r="AL97" s="46"/>
      <c r="AM97" s="41">
        <v>1</v>
      </c>
      <c r="AN97" s="41">
        <v>1</v>
      </c>
      <c r="AO97" s="41">
        <v>1</v>
      </c>
      <c r="AP97" s="41">
        <v>1</v>
      </c>
      <c r="AQ97" s="41">
        <v>1</v>
      </c>
      <c r="AR97" s="41">
        <v>0</v>
      </c>
      <c r="AS97" s="41">
        <v>1</v>
      </c>
      <c r="AT97" s="41">
        <v>0</v>
      </c>
      <c r="AU97" s="41">
        <v>0</v>
      </c>
      <c r="AV97" s="41">
        <v>0</v>
      </c>
      <c r="AW97" s="41">
        <v>1</v>
      </c>
      <c r="AX97" s="41">
        <v>1</v>
      </c>
      <c r="AY97" s="41">
        <v>1</v>
      </c>
      <c r="AZ97" s="46">
        <f t="shared" si="26"/>
        <v>9</v>
      </c>
      <c r="BA97" s="46"/>
      <c r="BB97" s="41">
        <v>0</v>
      </c>
      <c r="BC97" s="41">
        <v>0</v>
      </c>
      <c r="BD97" s="41">
        <v>0</v>
      </c>
      <c r="BE97" s="41">
        <v>0</v>
      </c>
      <c r="BF97" s="41">
        <v>0</v>
      </c>
      <c r="BG97" s="41">
        <v>0</v>
      </c>
      <c r="BH97" s="41">
        <v>0</v>
      </c>
      <c r="BI97" s="41">
        <v>0</v>
      </c>
      <c r="BJ97" s="46">
        <f t="shared" si="27"/>
        <v>0</v>
      </c>
      <c r="BK97" s="46"/>
      <c r="BL97" s="41">
        <v>0</v>
      </c>
      <c r="BM97" s="41">
        <v>0</v>
      </c>
      <c r="BN97" s="41">
        <v>0</v>
      </c>
      <c r="BO97" s="41">
        <v>0</v>
      </c>
      <c r="BP97" s="41">
        <v>0</v>
      </c>
      <c r="BQ97" s="41">
        <v>0</v>
      </c>
      <c r="BR97" s="41">
        <v>0</v>
      </c>
      <c r="BS97" s="47">
        <f t="shared" si="28"/>
        <v>0</v>
      </c>
      <c r="BT97" s="47"/>
      <c r="BU97" s="44">
        <f t="shared" si="29"/>
        <v>15</v>
      </c>
      <c r="BV97" s="44">
        <f t="shared" si="30"/>
        <v>9</v>
      </c>
      <c r="BW97" s="44">
        <f t="shared" si="31"/>
        <v>24</v>
      </c>
      <c r="BX97" s="44">
        <f t="shared" si="32"/>
        <v>0</v>
      </c>
      <c r="BY97" s="44">
        <f t="shared" si="33"/>
        <v>0</v>
      </c>
      <c r="BZ97" s="44"/>
      <c r="CA97" s="44">
        <f t="shared" si="34"/>
        <v>24</v>
      </c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</row>
    <row r="98" spans="1:100" s="49" customFormat="1" ht="15.75" customHeight="1" x14ac:dyDescent="0.25">
      <c r="A98" s="40" t="s">
        <v>531</v>
      </c>
      <c r="B98" s="41" t="s">
        <v>86</v>
      </c>
      <c r="C98" s="41">
        <v>-3353477</v>
      </c>
      <c r="D98" s="41">
        <v>-7061624</v>
      </c>
      <c r="E98" s="41" t="s">
        <v>565</v>
      </c>
      <c r="F98" s="43">
        <v>-335314</v>
      </c>
      <c r="G98" s="43">
        <v>-70613417</v>
      </c>
      <c r="H98" s="43" t="s">
        <v>318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>
        <v>0</v>
      </c>
      <c r="AH98" s="44">
        <v>0</v>
      </c>
      <c r="AI98" s="44">
        <v>0</v>
      </c>
      <c r="AJ98" s="44">
        <v>0</v>
      </c>
      <c r="AK98" s="46">
        <f t="shared" si="25"/>
        <v>0</v>
      </c>
      <c r="AL98" s="46"/>
      <c r="AM98" s="41">
        <v>1</v>
      </c>
      <c r="AN98" s="41">
        <v>1</v>
      </c>
      <c r="AO98" s="41">
        <v>0</v>
      </c>
      <c r="AP98" s="41">
        <v>1</v>
      </c>
      <c r="AQ98" s="41">
        <v>0</v>
      </c>
      <c r="AR98" s="41">
        <v>0</v>
      </c>
      <c r="AS98" s="41">
        <v>1</v>
      </c>
      <c r="AT98" s="41">
        <v>0</v>
      </c>
      <c r="AU98" s="41">
        <v>0</v>
      </c>
      <c r="AV98" s="41">
        <v>0</v>
      </c>
      <c r="AW98" s="41">
        <v>1</v>
      </c>
      <c r="AX98" s="41">
        <v>1</v>
      </c>
      <c r="AY98" s="41">
        <v>1</v>
      </c>
      <c r="AZ98" s="46">
        <f t="shared" si="26"/>
        <v>7</v>
      </c>
      <c r="BA98" s="46"/>
      <c r="BB98" s="41">
        <v>0</v>
      </c>
      <c r="BC98" s="41">
        <v>0</v>
      </c>
      <c r="BD98" s="41">
        <v>0</v>
      </c>
      <c r="BE98" s="41">
        <v>0</v>
      </c>
      <c r="BF98" s="41">
        <v>0</v>
      </c>
      <c r="BG98" s="41">
        <v>0</v>
      </c>
      <c r="BH98" s="41">
        <v>0</v>
      </c>
      <c r="BI98" s="41">
        <v>0</v>
      </c>
      <c r="BJ98" s="46">
        <f t="shared" si="27"/>
        <v>0</v>
      </c>
      <c r="BK98" s="50"/>
      <c r="BL98" s="44">
        <v>0</v>
      </c>
      <c r="BM98" s="44">
        <v>0</v>
      </c>
      <c r="BN98" s="44">
        <v>0</v>
      </c>
      <c r="BO98" s="44">
        <v>0</v>
      </c>
      <c r="BP98" s="44">
        <v>0</v>
      </c>
      <c r="BQ98" s="44">
        <v>0</v>
      </c>
      <c r="BR98" s="44">
        <v>0</v>
      </c>
      <c r="BS98" s="47">
        <f t="shared" si="28"/>
        <v>0</v>
      </c>
      <c r="BT98" s="47"/>
      <c r="BU98" s="44">
        <f t="shared" si="29"/>
        <v>0</v>
      </c>
      <c r="BV98" s="44">
        <f t="shared" si="30"/>
        <v>7</v>
      </c>
      <c r="BW98" s="44">
        <f t="shared" si="31"/>
        <v>7</v>
      </c>
      <c r="BX98" s="44">
        <f t="shared" si="32"/>
        <v>0</v>
      </c>
      <c r="BY98" s="44">
        <f t="shared" si="33"/>
        <v>0</v>
      </c>
      <c r="BZ98" s="44"/>
      <c r="CA98" s="44">
        <f t="shared" si="34"/>
        <v>7</v>
      </c>
      <c r="CB98" s="44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</row>
    <row r="99" spans="1:100" s="49" customFormat="1" ht="15.75" customHeight="1" x14ac:dyDescent="0.25">
      <c r="A99" s="40" t="s">
        <v>531</v>
      </c>
      <c r="B99" s="41" t="s">
        <v>86</v>
      </c>
      <c r="C99" s="41">
        <v>-3353477</v>
      </c>
      <c r="D99" s="41">
        <v>-7061624</v>
      </c>
      <c r="E99" s="41" t="s">
        <v>313</v>
      </c>
      <c r="F99" s="43">
        <v>-33533303</v>
      </c>
      <c r="G99" s="43">
        <v>-70615833</v>
      </c>
      <c r="H99" s="43" t="s">
        <v>94</v>
      </c>
      <c r="I99" s="44">
        <v>1</v>
      </c>
      <c r="J99" s="44">
        <v>0</v>
      </c>
      <c r="K99" s="44">
        <v>0</v>
      </c>
      <c r="L99" s="44">
        <v>1</v>
      </c>
      <c r="M99" s="44">
        <v>1</v>
      </c>
      <c r="N99" s="44">
        <v>1</v>
      </c>
      <c r="O99" s="44">
        <v>1</v>
      </c>
      <c r="P99" s="44">
        <v>0</v>
      </c>
      <c r="Q99" s="44">
        <v>1</v>
      </c>
      <c r="R99" s="44">
        <v>1</v>
      </c>
      <c r="S99" s="44">
        <v>1</v>
      </c>
      <c r="T99" s="44">
        <v>1</v>
      </c>
      <c r="U99" s="44">
        <v>1</v>
      </c>
      <c r="V99" s="44">
        <v>0</v>
      </c>
      <c r="W99" s="44">
        <v>1</v>
      </c>
      <c r="X99" s="44">
        <v>1</v>
      </c>
      <c r="Y99" s="44">
        <v>0</v>
      </c>
      <c r="Z99" s="44">
        <v>0</v>
      </c>
      <c r="AA99" s="44">
        <v>0</v>
      </c>
      <c r="AB99" s="44">
        <v>0</v>
      </c>
      <c r="AC99" s="44">
        <v>1</v>
      </c>
      <c r="AD99" s="44">
        <v>1</v>
      </c>
      <c r="AE99" s="44">
        <v>0</v>
      </c>
      <c r="AF99" s="44">
        <v>1</v>
      </c>
      <c r="AG99" s="44">
        <v>1</v>
      </c>
      <c r="AH99" s="44">
        <v>0</v>
      </c>
      <c r="AI99" s="44">
        <v>0</v>
      </c>
      <c r="AJ99" s="44">
        <v>0</v>
      </c>
      <c r="AK99" s="46">
        <f t="shared" si="25"/>
        <v>16</v>
      </c>
      <c r="AL99" s="46"/>
      <c r="AM99" s="41">
        <v>1</v>
      </c>
      <c r="AN99" s="41">
        <v>1</v>
      </c>
      <c r="AO99" s="41">
        <v>1</v>
      </c>
      <c r="AP99" s="41">
        <v>1</v>
      </c>
      <c r="AQ99" s="41">
        <v>1</v>
      </c>
      <c r="AR99" s="41">
        <v>0</v>
      </c>
      <c r="AS99" s="41">
        <v>1</v>
      </c>
      <c r="AT99" s="41">
        <v>0</v>
      </c>
      <c r="AU99" s="41">
        <v>0</v>
      </c>
      <c r="AV99" s="41">
        <v>0</v>
      </c>
      <c r="AW99" s="41">
        <v>1</v>
      </c>
      <c r="AX99" s="41">
        <v>1</v>
      </c>
      <c r="AY99" s="41">
        <v>1</v>
      </c>
      <c r="AZ99" s="46">
        <f t="shared" si="26"/>
        <v>9</v>
      </c>
      <c r="BA99" s="46"/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0</v>
      </c>
      <c r="BH99" s="41">
        <v>0</v>
      </c>
      <c r="BI99" s="41">
        <v>0</v>
      </c>
      <c r="BJ99" s="46">
        <f t="shared" si="27"/>
        <v>0</v>
      </c>
      <c r="BK99" s="50"/>
      <c r="BL99" s="44">
        <v>0</v>
      </c>
      <c r="BM99" s="44">
        <v>0</v>
      </c>
      <c r="BN99" s="44">
        <v>0</v>
      </c>
      <c r="BO99" s="44">
        <v>0</v>
      </c>
      <c r="BP99" s="44">
        <v>0</v>
      </c>
      <c r="BQ99" s="44">
        <v>0</v>
      </c>
      <c r="BR99" s="44">
        <v>0</v>
      </c>
      <c r="BS99" s="47">
        <f t="shared" si="28"/>
        <v>0</v>
      </c>
      <c r="BT99" s="47"/>
      <c r="BU99" s="44">
        <f t="shared" si="29"/>
        <v>16</v>
      </c>
      <c r="BV99" s="44">
        <f t="shared" si="30"/>
        <v>9</v>
      </c>
      <c r="BW99" s="44">
        <f t="shared" si="31"/>
        <v>25</v>
      </c>
      <c r="BX99" s="44">
        <f t="shared" si="32"/>
        <v>0</v>
      </c>
      <c r="BY99" s="44">
        <f t="shared" si="33"/>
        <v>0</v>
      </c>
      <c r="BZ99" s="44"/>
      <c r="CA99" s="44">
        <f t="shared" si="34"/>
        <v>25</v>
      </c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</row>
    <row r="100" spans="1:100" s="49" customFormat="1" ht="15.75" customHeight="1" x14ac:dyDescent="0.25">
      <c r="A100" s="40" t="s">
        <v>531</v>
      </c>
      <c r="B100" s="41" t="s">
        <v>86</v>
      </c>
      <c r="C100" s="41">
        <v>-3353477</v>
      </c>
      <c r="D100" s="41">
        <v>-7061624</v>
      </c>
      <c r="E100" s="41" t="s">
        <v>566</v>
      </c>
      <c r="F100" s="43">
        <v>-33535165</v>
      </c>
      <c r="G100" s="43">
        <v>-7061486</v>
      </c>
      <c r="H100" s="43" t="s">
        <v>94</v>
      </c>
      <c r="I100" s="44">
        <v>0</v>
      </c>
      <c r="J100" s="44">
        <v>0</v>
      </c>
      <c r="K100" s="44">
        <v>0</v>
      </c>
      <c r="L100" s="44">
        <v>1</v>
      </c>
      <c r="M100" s="44">
        <v>1</v>
      </c>
      <c r="N100" s="44">
        <v>1</v>
      </c>
      <c r="O100" s="44">
        <v>1</v>
      </c>
      <c r="P100" s="44">
        <v>0</v>
      </c>
      <c r="Q100" s="44">
        <v>1</v>
      </c>
      <c r="R100" s="44">
        <v>0</v>
      </c>
      <c r="S100" s="44">
        <v>1</v>
      </c>
      <c r="T100" s="44">
        <v>1</v>
      </c>
      <c r="U100" s="44">
        <v>0</v>
      </c>
      <c r="V100" s="44">
        <v>0</v>
      </c>
      <c r="W100" s="44">
        <v>1</v>
      </c>
      <c r="X100" s="44">
        <v>1</v>
      </c>
      <c r="Y100" s="44">
        <v>0</v>
      </c>
      <c r="Z100" s="44">
        <v>0</v>
      </c>
      <c r="AA100" s="44">
        <v>0</v>
      </c>
      <c r="AB100" s="44">
        <v>0</v>
      </c>
      <c r="AC100" s="44">
        <v>1</v>
      </c>
      <c r="AD100" s="44">
        <v>1</v>
      </c>
      <c r="AE100" s="44">
        <v>0</v>
      </c>
      <c r="AF100" s="44">
        <v>1</v>
      </c>
      <c r="AG100" s="44">
        <v>1</v>
      </c>
      <c r="AH100" s="44">
        <v>0</v>
      </c>
      <c r="AI100" s="44">
        <v>0</v>
      </c>
      <c r="AJ100" s="44">
        <v>0</v>
      </c>
      <c r="AK100" s="46">
        <f t="shared" si="25"/>
        <v>13</v>
      </c>
      <c r="AL100" s="46"/>
      <c r="AM100" s="41">
        <v>1</v>
      </c>
      <c r="AN100" s="41">
        <v>1</v>
      </c>
      <c r="AO100" s="41">
        <v>1</v>
      </c>
      <c r="AP100" s="41">
        <v>1</v>
      </c>
      <c r="AQ100" s="41">
        <v>1</v>
      </c>
      <c r="AR100" s="41">
        <v>0</v>
      </c>
      <c r="AS100" s="41">
        <v>1</v>
      </c>
      <c r="AT100" s="41">
        <v>0</v>
      </c>
      <c r="AU100" s="41">
        <v>0</v>
      </c>
      <c r="AV100" s="41">
        <v>0</v>
      </c>
      <c r="AW100" s="41">
        <v>1</v>
      </c>
      <c r="AX100" s="41">
        <v>1</v>
      </c>
      <c r="AY100" s="41">
        <v>0</v>
      </c>
      <c r="AZ100" s="46">
        <f t="shared" si="26"/>
        <v>8</v>
      </c>
      <c r="BA100" s="46"/>
      <c r="BB100" s="41">
        <v>0</v>
      </c>
      <c r="BC100" s="41">
        <v>0</v>
      </c>
      <c r="BD100" s="41">
        <v>0</v>
      </c>
      <c r="BE100" s="41">
        <v>0</v>
      </c>
      <c r="BF100" s="41">
        <v>0</v>
      </c>
      <c r="BG100" s="41">
        <v>0</v>
      </c>
      <c r="BH100" s="41">
        <v>0</v>
      </c>
      <c r="BI100" s="41">
        <v>0</v>
      </c>
      <c r="BJ100" s="46">
        <f t="shared" si="27"/>
        <v>0</v>
      </c>
      <c r="BK100" s="50"/>
      <c r="BL100" s="44">
        <v>0</v>
      </c>
      <c r="BM100" s="44">
        <v>0</v>
      </c>
      <c r="BN100" s="44">
        <v>0</v>
      </c>
      <c r="BO100" s="44">
        <v>0</v>
      </c>
      <c r="BP100" s="44">
        <v>0</v>
      </c>
      <c r="BQ100" s="44">
        <v>0</v>
      </c>
      <c r="BR100" s="44">
        <v>0</v>
      </c>
      <c r="BS100" s="47">
        <f t="shared" si="28"/>
        <v>0</v>
      </c>
      <c r="BT100" s="47"/>
      <c r="BU100" s="44">
        <f t="shared" si="29"/>
        <v>13</v>
      </c>
      <c r="BV100" s="44">
        <f t="shared" si="30"/>
        <v>8</v>
      </c>
      <c r="BW100" s="44">
        <f t="shared" si="31"/>
        <v>21</v>
      </c>
      <c r="BX100" s="44">
        <f t="shared" si="32"/>
        <v>0</v>
      </c>
      <c r="BY100" s="44">
        <f t="shared" si="33"/>
        <v>0</v>
      </c>
      <c r="BZ100" s="44"/>
      <c r="CA100" s="44">
        <f t="shared" si="34"/>
        <v>21</v>
      </c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</row>
    <row r="101" spans="1:100" s="49" customFormat="1" ht="15.75" customHeight="1" x14ac:dyDescent="0.25">
      <c r="A101" s="40" t="s">
        <v>531</v>
      </c>
      <c r="B101" s="46" t="s">
        <v>85</v>
      </c>
      <c r="C101" s="53">
        <v>-33530047</v>
      </c>
      <c r="D101" s="53">
        <v>-70627463</v>
      </c>
      <c r="E101" s="46" t="s">
        <v>567</v>
      </c>
      <c r="F101" s="54">
        <v>-33530047</v>
      </c>
      <c r="G101" s="54">
        <v>-70627465</v>
      </c>
      <c r="H101" s="54" t="s">
        <v>94</v>
      </c>
      <c r="I101" s="54">
        <v>0</v>
      </c>
      <c r="J101" s="54">
        <v>0</v>
      </c>
      <c r="K101" s="54">
        <v>0</v>
      </c>
      <c r="L101" s="54">
        <v>0</v>
      </c>
      <c r="M101" s="54">
        <v>1</v>
      </c>
      <c r="N101" s="54">
        <v>1</v>
      </c>
      <c r="O101" s="54">
        <v>1</v>
      </c>
      <c r="P101" s="54">
        <v>0</v>
      </c>
      <c r="Q101" s="54">
        <v>1</v>
      </c>
      <c r="R101" s="54">
        <v>1</v>
      </c>
      <c r="S101" s="54">
        <v>0</v>
      </c>
      <c r="T101" s="54">
        <v>1</v>
      </c>
      <c r="U101" s="54">
        <v>1</v>
      </c>
      <c r="V101" s="54">
        <v>0</v>
      </c>
      <c r="W101" s="54">
        <v>1</v>
      </c>
      <c r="X101" s="54">
        <v>1</v>
      </c>
      <c r="Y101" s="54">
        <v>0</v>
      </c>
      <c r="Z101" s="54">
        <v>1</v>
      </c>
      <c r="AA101" s="54">
        <v>1</v>
      </c>
      <c r="AB101" s="54">
        <v>0</v>
      </c>
      <c r="AC101" s="54">
        <v>1</v>
      </c>
      <c r="AD101" s="54">
        <v>1</v>
      </c>
      <c r="AE101" s="54">
        <v>0</v>
      </c>
      <c r="AF101" s="54">
        <v>1</v>
      </c>
      <c r="AG101" s="54">
        <v>1</v>
      </c>
      <c r="AH101" s="54">
        <v>1</v>
      </c>
      <c r="AI101" s="54">
        <v>1</v>
      </c>
      <c r="AJ101" s="54">
        <v>1</v>
      </c>
      <c r="AK101" s="46">
        <f t="shared" si="25"/>
        <v>18</v>
      </c>
      <c r="AL101" s="55"/>
      <c r="AM101" s="54">
        <v>1</v>
      </c>
      <c r="AN101" s="54">
        <v>1</v>
      </c>
      <c r="AO101" s="54">
        <v>1</v>
      </c>
      <c r="AP101" s="54">
        <v>1</v>
      </c>
      <c r="AQ101" s="54">
        <v>1</v>
      </c>
      <c r="AR101" s="54">
        <v>0</v>
      </c>
      <c r="AS101" s="54">
        <v>0</v>
      </c>
      <c r="AT101" s="54">
        <v>0</v>
      </c>
      <c r="AU101" s="54">
        <v>1</v>
      </c>
      <c r="AV101" s="54">
        <v>1</v>
      </c>
      <c r="AW101" s="54">
        <v>1</v>
      </c>
      <c r="AX101" s="54">
        <v>1</v>
      </c>
      <c r="AY101" s="54">
        <v>0</v>
      </c>
      <c r="AZ101" s="46">
        <f t="shared" si="26"/>
        <v>9</v>
      </c>
      <c r="BA101" s="46"/>
      <c r="BB101" s="54">
        <v>0</v>
      </c>
      <c r="BC101" s="54">
        <v>1</v>
      </c>
      <c r="BD101" s="54">
        <v>0</v>
      </c>
      <c r="BE101" s="54">
        <v>0</v>
      </c>
      <c r="BF101" s="54">
        <v>0</v>
      </c>
      <c r="BG101" s="54">
        <v>0</v>
      </c>
      <c r="BH101" s="54">
        <v>0</v>
      </c>
      <c r="BI101" s="54">
        <v>0</v>
      </c>
      <c r="BJ101" s="46">
        <f t="shared" si="27"/>
        <v>1</v>
      </c>
      <c r="BK101" s="50"/>
      <c r="BL101" s="54">
        <v>0</v>
      </c>
      <c r="BM101" s="54">
        <v>0</v>
      </c>
      <c r="BN101" s="54">
        <v>0</v>
      </c>
      <c r="BO101" s="54">
        <v>0</v>
      </c>
      <c r="BP101" s="54">
        <v>0</v>
      </c>
      <c r="BQ101" s="54">
        <v>0</v>
      </c>
      <c r="BR101" s="54">
        <v>0</v>
      </c>
      <c r="BS101" s="47">
        <f t="shared" si="28"/>
        <v>0</v>
      </c>
      <c r="BT101" s="46"/>
      <c r="BU101" s="44">
        <f t="shared" si="29"/>
        <v>18</v>
      </c>
      <c r="BV101" s="44">
        <f t="shared" si="30"/>
        <v>9</v>
      </c>
      <c r="BW101" s="44">
        <f t="shared" si="31"/>
        <v>27</v>
      </c>
      <c r="BX101" s="44">
        <f t="shared" si="32"/>
        <v>1</v>
      </c>
      <c r="BY101" s="44">
        <f t="shared" si="33"/>
        <v>0</v>
      </c>
      <c r="BZ101" s="56"/>
      <c r="CA101" s="44">
        <f t="shared" si="34"/>
        <v>28</v>
      </c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</row>
    <row r="102" spans="1:100" s="49" customFormat="1" ht="15.75" customHeight="1" x14ac:dyDescent="0.25">
      <c r="A102" s="40" t="s">
        <v>531</v>
      </c>
      <c r="B102" s="46" t="s">
        <v>85</v>
      </c>
      <c r="C102" s="53">
        <v>-33530047</v>
      </c>
      <c r="D102" s="53">
        <v>-70627463</v>
      </c>
      <c r="E102" s="46" t="s">
        <v>568</v>
      </c>
      <c r="F102" s="53">
        <v>-33530047</v>
      </c>
      <c r="G102" s="53">
        <v>-70627463</v>
      </c>
      <c r="H102" s="54" t="s">
        <v>96</v>
      </c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46">
        <f t="shared" si="25"/>
        <v>0</v>
      </c>
      <c r="AL102" s="46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46">
        <f t="shared" si="26"/>
        <v>0</v>
      </c>
      <c r="BA102" s="46"/>
      <c r="BB102" s="54"/>
      <c r="BC102" s="54"/>
      <c r="BD102" s="54"/>
      <c r="BE102" s="54"/>
      <c r="BF102" s="54"/>
      <c r="BG102" s="54"/>
      <c r="BH102" s="54"/>
      <c r="BI102" s="54"/>
      <c r="BJ102" s="46">
        <f t="shared" si="27"/>
        <v>0</v>
      </c>
      <c r="BK102" s="50"/>
      <c r="BL102" s="54"/>
      <c r="BM102" s="54"/>
      <c r="BN102" s="54"/>
      <c r="BO102" s="54"/>
      <c r="BP102" s="54"/>
      <c r="BQ102" s="54"/>
      <c r="BR102" s="54"/>
      <c r="BS102" s="47">
        <f t="shared" si="28"/>
        <v>0</v>
      </c>
      <c r="BT102" s="46"/>
      <c r="BU102" s="44">
        <f t="shared" si="29"/>
        <v>0</v>
      </c>
      <c r="BV102" s="44">
        <f t="shared" si="30"/>
        <v>0</v>
      </c>
      <c r="BW102" s="44">
        <f t="shared" si="31"/>
        <v>0</v>
      </c>
      <c r="BX102" s="44">
        <f t="shared" si="32"/>
        <v>0</v>
      </c>
      <c r="BY102" s="44">
        <f t="shared" si="33"/>
        <v>0</v>
      </c>
      <c r="BZ102" s="56"/>
      <c r="CA102" s="44">
        <f t="shared" si="34"/>
        <v>0</v>
      </c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</row>
    <row r="103" spans="1:100" s="49" customFormat="1" ht="15.75" customHeight="1" x14ac:dyDescent="0.25">
      <c r="A103" s="40" t="s">
        <v>531</v>
      </c>
      <c r="B103" s="46" t="s">
        <v>85</v>
      </c>
      <c r="C103" s="53">
        <v>-33529616</v>
      </c>
      <c r="D103" s="53">
        <v>-70627988</v>
      </c>
      <c r="E103" s="46" t="s">
        <v>569</v>
      </c>
      <c r="F103" s="53">
        <v>-33529616</v>
      </c>
      <c r="G103" s="53">
        <v>-70627988</v>
      </c>
      <c r="H103" s="54" t="s">
        <v>94</v>
      </c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46">
        <f t="shared" si="25"/>
        <v>0</v>
      </c>
      <c r="AL103" s="46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46">
        <f t="shared" si="26"/>
        <v>0</v>
      </c>
      <c r="BA103" s="46"/>
      <c r="BB103" s="54"/>
      <c r="BC103" s="54"/>
      <c r="BD103" s="54"/>
      <c r="BE103" s="54"/>
      <c r="BF103" s="54"/>
      <c r="BG103" s="54"/>
      <c r="BH103" s="54"/>
      <c r="BI103" s="54"/>
      <c r="BJ103" s="46">
        <f t="shared" si="27"/>
        <v>0</v>
      </c>
      <c r="BK103" s="50"/>
      <c r="BL103" s="54"/>
      <c r="BM103" s="54"/>
      <c r="BN103" s="54"/>
      <c r="BO103" s="54"/>
      <c r="BP103" s="54"/>
      <c r="BQ103" s="54"/>
      <c r="BR103" s="54"/>
      <c r="BS103" s="47">
        <f t="shared" si="28"/>
        <v>0</v>
      </c>
      <c r="BT103" s="46"/>
      <c r="BU103" s="44">
        <f t="shared" si="29"/>
        <v>0</v>
      </c>
      <c r="BV103" s="44">
        <f t="shared" si="30"/>
        <v>0</v>
      </c>
      <c r="BW103" s="44">
        <f t="shared" si="31"/>
        <v>0</v>
      </c>
      <c r="BX103" s="44">
        <f t="shared" si="32"/>
        <v>0</v>
      </c>
      <c r="BY103" s="44">
        <f t="shared" si="33"/>
        <v>0</v>
      </c>
      <c r="BZ103" s="56"/>
      <c r="CA103" s="44">
        <f t="shared" si="34"/>
        <v>0</v>
      </c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</row>
    <row r="104" spans="1:100" s="49" customFormat="1" ht="15.75" customHeight="1" x14ac:dyDescent="0.25">
      <c r="A104" s="40" t="s">
        <v>531</v>
      </c>
      <c r="B104" s="54" t="s">
        <v>85</v>
      </c>
      <c r="C104" s="54">
        <v>-3353233</v>
      </c>
      <c r="D104" s="54">
        <v>-70627403</v>
      </c>
      <c r="E104" s="54" t="s">
        <v>570</v>
      </c>
      <c r="F104" s="54">
        <v>-3353233</v>
      </c>
      <c r="G104" s="54">
        <v>-70627403</v>
      </c>
      <c r="H104" s="54" t="s">
        <v>94</v>
      </c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46">
        <f t="shared" si="25"/>
        <v>0</v>
      </c>
      <c r="AL104" s="46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46">
        <f t="shared" si="26"/>
        <v>0</v>
      </c>
      <c r="BA104" s="46"/>
      <c r="BB104" s="54"/>
      <c r="BC104" s="54"/>
      <c r="BD104" s="54"/>
      <c r="BE104" s="54"/>
      <c r="BF104" s="54"/>
      <c r="BG104" s="54"/>
      <c r="BH104" s="54"/>
      <c r="BI104" s="54"/>
      <c r="BJ104" s="46">
        <f t="shared" si="27"/>
        <v>0</v>
      </c>
      <c r="BK104" s="50"/>
      <c r="BL104" s="54"/>
      <c r="BM104" s="54"/>
      <c r="BN104" s="54"/>
      <c r="BO104" s="54"/>
      <c r="BP104" s="54"/>
      <c r="BQ104" s="54"/>
      <c r="BR104" s="54"/>
      <c r="BS104" s="47">
        <f t="shared" si="28"/>
        <v>0</v>
      </c>
      <c r="BT104" s="46"/>
      <c r="BU104" s="44">
        <f t="shared" si="29"/>
        <v>0</v>
      </c>
      <c r="BV104" s="44">
        <f t="shared" si="30"/>
        <v>0</v>
      </c>
      <c r="BW104" s="44">
        <f t="shared" si="31"/>
        <v>0</v>
      </c>
      <c r="BX104" s="44">
        <f t="shared" si="32"/>
        <v>0</v>
      </c>
      <c r="BY104" s="44">
        <f t="shared" si="33"/>
        <v>0</v>
      </c>
      <c r="BZ104" s="56"/>
      <c r="CA104" s="44">
        <f t="shared" si="34"/>
        <v>0</v>
      </c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</row>
    <row r="105" spans="1:100" s="49" customFormat="1" ht="15.75" customHeight="1" x14ac:dyDescent="0.25">
      <c r="A105" s="40" t="s">
        <v>531</v>
      </c>
      <c r="B105" s="54" t="s">
        <v>571</v>
      </c>
      <c r="C105" s="54">
        <v>-33532407</v>
      </c>
      <c r="D105" s="54">
        <v>-7062629</v>
      </c>
      <c r="E105" s="54" t="s">
        <v>572</v>
      </c>
      <c r="F105" s="54">
        <v>-33532407</v>
      </c>
      <c r="G105" s="54">
        <v>-7062629</v>
      </c>
      <c r="H105" s="54" t="s">
        <v>96</v>
      </c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46">
        <f t="shared" si="25"/>
        <v>0</v>
      </c>
      <c r="AL105" s="46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46">
        <f t="shared" si="26"/>
        <v>0</v>
      </c>
      <c r="BA105" s="46"/>
      <c r="BB105" s="54"/>
      <c r="BC105" s="54"/>
      <c r="BD105" s="54"/>
      <c r="BE105" s="54"/>
      <c r="BF105" s="54"/>
      <c r="BG105" s="54"/>
      <c r="BH105" s="54"/>
      <c r="BI105" s="54"/>
      <c r="BJ105" s="46">
        <f t="shared" si="27"/>
        <v>0</v>
      </c>
      <c r="BK105" s="50"/>
      <c r="BL105" s="54"/>
      <c r="BM105" s="54"/>
      <c r="BN105" s="54"/>
      <c r="BO105" s="54"/>
      <c r="BP105" s="54"/>
      <c r="BQ105" s="54"/>
      <c r="BR105" s="54"/>
      <c r="BS105" s="47">
        <f t="shared" si="28"/>
        <v>0</v>
      </c>
      <c r="BT105" s="46"/>
      <c r="BU105" s="44">
        <f t="shared" si="29"/>
        <v>0</v>
      </c>
      <c r="BV105" s="44">
        <f t="shared" si="30"/>
        <v>0</v>
      </c>
      <c r="BW105" s="44">
        <f t="shared" si="31"/>
        <v>0</v>
      </c>
      <c r="BX105" s="44">
        <f t="shared" si="32"/>
        <v>0</v>
      </c>
      <c r="BY105" s="44">
        <f t="shared" si="33"/>
        <v>0</v>
      </c>
      <c r="BZ105" s="56"/>
      <c r="CA105" s="44">
        <f t="shared" si="34"/>
        <v>0</v>
      </c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</row>
    <row r="106" spans="1:100" s="49" customFormat="1" ht="15.75" customHeight="1" x14ac:dyDescent="0.25">
      <c r="A106" s="40" t="s">
        <v>531</v>
      </c>
      <c r="B106" s="54" t="s">
        <v>571</v>
      </c>
      <c r="C106" s="54">
        <v>-33532407</v>
      </c>
      <c r="D106" s="54">
        <v>-70626029</v>
      </c>
      <c r="E106" s="54" t="s">
        <v>573</v>
      </c>
      <c r="F106" s="54">
        <v>-33532407</v>
      </c>
      <c r="G106" s="54">
        <v>-70626029</v>
      </c>
      <c r="H106" s="54" t="s">
        <v>574</v>
      </c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46">
        <f t="shared" si="25"/>
        <v>0</v>
      </c>
      <c r="AL106" s="46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46">
        <f t="shared" si="26"/>
        <v>0</v>
      </c>
      <c r="BA106" s="46"/>
      <c r="BB106" s="54"/>
      <c r="BC106" s="54"/>
      <c r="BD106" s="54"/>
      <c r="BE106" s="54"/>
      <c r="BF106" s="54"/>
      <c r="BG106" s="54"/>
      <c r="BH106" s="54"/>
      <c r="BI106" s="54"/>
      <c r="BJ106" s="46">
        <f t="shared" si="27"/>
        <v>0</v>
      </c>
      <c r="BK106" s="50"/>
      <c r="BL106" s="54"/>
      <c r="BM106" s="54"/>
      <c r="BN106" s="54"/>
      <c r="BO106" s="54"/>
      <c r="BP106" s="54"/>
      <c r="BQ106" s="54"/>
      <c r="BR106" s="54"/>
      <c r="BS106" s="47">
        <f t="shared" si="28"/>
        <v>0</v>
      </c>
      <c r="BT106" s="46"/>
      <c r="BU106" s="44">
        <f t="shared" si="29"/>
        <v>0</v>
      </c>
      <c r="BV106" s="44">
        <f t="shared" si="30"/>
        <v>0</v>
      </c>
      <c r="BW106" s="44">
        <f t="shared" si="31"/>
        <v>0</v>
      </c>
      <c r="BX106" s="44">
        <f t="shared" si="32"/>
        <v>0</v>
      </c>
      <c r="BY106" s="44">
        <f t="shared" si="33"/>
        <v>0</v>
      </c>
      <c r="BZ106" s="56"/>
      <c r="CA106" s="44">
        <f t="shared" si="34"/>
        <v>0</v>
      </c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</row>
    <row r="107" spans="1:100" s="49" customFormat="1" ht="15.75" customHeight="1" x14ac:dyDescent="0.25">
      <c r="A107" s="40" t="s">
        <v>531</v>
      </c>
      <c r="B107" s="54" t="s">
        <v>571</v>
      </c>
      <c r="C107" s="54">
        <v>-3353401</v>
      </c>
      <c r="D107" s="54">
        <v>-70626029</v>
      </c>
      <c r="E107" s="54" t="s">
        <v>575</v>
      </c>
      <c r="F107" s="54">
        <v>-3353401</v>
      </c>
      <c r="G107" s="54">
        <v>-70626029</v>
      </c>
      <c r="H107" s="54" t="s">
        <v>94</v>
      </c>
      <c r="I107" s="54">
        <v>0</v>
      </c>
      <c r="J107" s="54">
        <v>0</v>
      </c>
      <c r="K107" s="54">
        <v>0</v>
      </c>
      <c r="L107" s="54">
        <v>1</v>
      </c>
      <c r="M107" s="54">
        <v>1</v>
      </c>
      <c r="N107" s="54">
        <v>1</v>
      </c>
      <c r="O107" s="54">
        <v>0</v>
      </c>
      <c r="P107" s="54">
        <v>1</v>
      </c>
      <c r="Q107" s="54">
        <v>1</v>
      </c>
      <c r="R107" s="54">
        <v>0</v>
      </c>
      <c r="S107" s="54">
        <v>1</v>
      </c>
      <c r="T107" s="54">
        <v>0</v>
      </c>
      <c r="U107" s="54">
        <v>0</v>
      </c>
      <c r="V107" s="54">
        <v>1</v>
      </c>
      <c r="W107" s="54">
        <v>1</v>
      </c>
      <c r="X107" s="54">
        <v>0</v>
      </c>
      <c r="Y107" s="54">
        <v>0</v>
      </c>
      <c r="Z107" s="54">
        <v>0</v>
      </c>
      <c r="AA107" s="54">
        <v>0</v>
      </c>
      <c r="AB107" s="54">
        <v>1</v>
      </c>
      <c r="AC107" s="54">
        <v>1</v>
      </c>
      <c r="AD107" s="54">
        <v>0</v>
      </c>
      <c r="AE107" s="54">
        <v>1</v>
      </c>
      <c r="AF107" s="54">
        <v>1</v>
      </c>
      <c r="AG107" s="54">
        <v>0</v>
      </c>
      <c r="AH107" s="54">
        <v>1</v>
      </c>
      <c r="AI107" s="54">
        <v>1</v>
      </c>
      <c r="AJ107" s="54">
        <v>1</v>
      </c>
      <c r="AK107" s="46">
        <f t="shared" si="25"/>
        <v>15</v>
      </c>
      <c r="AL107" s="55"/>
      <c r="AM107" s="41">
        <v>1</v>
      </c>
      <c r="AN107" s="41">
        <v>1</v>
      </c>
      <c r="AO107" s="54">
        <v>0</v>
      </c>
      <c r="AP107" s="54">
        <v>1</v>
      </c>
      <c r="AQ107" s="54">
        <v>0</v>
      </c>
      <c r="AR107" s="54">
        <v>0</v>
      </c>
      <c r="AS107" s="54">
        <v>0</v>
      </c>
      <c r="AT107" s="54">
        <v>1</v>
      </c>
      <c r="AU107" s="54">
        <v>1</v>
      </c>
      <c r="AV107" s="54">
        <v>1</v>
      </c>
      <c r="AW107" s="54">
        <v>0</v>
      </c>
      <c r="AX107" s="54">
        <v>0</v>
      </c>
      <c r="AY107" s="54">
        <v>0</v>
      </c>
      <c r="AZ107" s="46">
        <f t="shared" si="26"/>
        <v>6</v>
      </c>
      <c r="BA107" s="46"/>
      <c r="BB107" s="54">
        <v>0</v>
      </c>
      <c r="BC107" s="54">
        <v>0</v>
      </c>
      <c r="BD107" s="54">
        <v>0</v>
      </c>
      <c r="BE107" s="54">
        <v>0</v>
      </c>
      <c r="BF107" s="54">
        <v>0</v>
      </c>
      <c r="BG107" s="54">
        <v>0</v>
      </c>
      <c r="BH107" s="54">
        <v>0</v>
      </c>
      <c r="BI107" s="54">
        <v>0</v>
      </c>
      <c r="BJ107" s="46">
        <f t="shared" si="27"/>
        <v>0</v>
      </c>
      <c r="BK107" s="50"/>
      <c r="BL107" s="54">
        <v>0</v>
      </c>
      <c r="BM107" s="54">
        <v>0</v>
      </c>
      <c r="BN107" s="54">
        <v>0</v>
      </c>
      <c r="BO107" s="54">
        <v>0</v>
      </c>
      <c r="BP107" s="54">
        <v>0</v>
      </c>
      <c r="BQ107" s="54">
        <v>0</v>
      </c>
      <c r="BR107" s="54">
        <v>0</v>
      </c>
      <c r="BS107" s="47">
        <f t="shared" si="28"/>
        <v>0</v>
      </c>
      <c r="BT107" s="46"/>
      <c r="BU107" s="44">
        <f t="shared" si="29"/>
        <v>15</v>
      </c>
      <c r="BV107" s="44">
        <f t="shared" si="30"/>
        <v>6</v>
      </c>
      <c r="BW107" s="44">
        <f t="shared" si="31"/>
        <v>21</v>
      </c>
      <c r="BX107" s="44">
        <f t="shared" si="32"/>
        <v>0</v>
      </c>
      <c r="BY107" s="44">
        <f t="shared" si="33"/>
        <v>0</v>
      </c>
      <c r="BZ107" s="56"/>
      <c r="CA107" s="44">
        <f t="shared" si="34"/>
        <v>21</v>
      </c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</row>
    <row r="108" spans="1:100" s="49" customFormat="1" ht="15.75" customHeight="1" x14ac:dyDescent="0.25">
      <c r="A108" s="40" t="s">
        <v>531</v>
      </c>
      <c r="B108" s="54" t="s">
        <v>571</v>
      </c>
      <c r="C108" s="54">
        <v>-33532183</v>
      </c>
      <c r="D108" s="54">
        <v>-70623736</v>
      </c>
      <c r="E108" s="54" t="s">
        <v>576</v>
      </c>
      <c r="F108" s="54">
        <v>-33532183</v>
      </c>
      <c r="G108" s="54">
        <v>-70623736</v>
      </c>
      <c r="H108" s="54" t="s">
        <v>577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1</v>
      </c>
      <c r="AI108" s="54">
        <v>0</v>
      </c>
      <c r="AJ108" s="54">
        <v>0</v>
      </c>
      <c r="AK108" s="46">
        <f t="shared" si="25"/>
        <v>1</v>
      </c>
      <c r="AL108" s="55"/>
      <c r="AM108" s="41">
        <v>1</v>
      </c>
      <c r="AN108" s="41">
        <v>1</v>
      </c>
      <c r="AO108" s="54">
        <v>0</v>
      </c>
      <c r="AP108" s="54">
        <v>1</v>
      </c>
      <c r="AQ108" s="54">
        <v>1</v>
      </c>
      <c r="AR108" s="54">
        <v>1</v>
      </c>
      <c r="AS108" s="54">
        <v>0</v>
      </c>
      <c r="AT108" s="54">
        <v>0</v>
      </c>
      <c r="AU108" s="54">
        <v>0</v>
      </c>
      <c r="AV108" s="54">
        <v>0</v>
      </c>
      <c r="AW108" s="54">
        <v>0</v>
      </c>
      <c r="AX108" s="54">
        <v>0</v>
      </c>
      <c r="AY108" s="54">
        <v>0</v>
      </c>
      <c r="AZ108" s="46">
        <f t="shared" si="26"/>
        <v>5</v>
      </c>
      <c r="BA108" s="46"/>
      <c r="BB108" s="54">
        <v>0</v>
      </c>
      <c r="BC108" s="54">
        <v>0</v>
      </c>
      <c r="BD108" s="54">
        <v>0</v>
      </c>
      <c r="BE108" s="54">
        <v>0</v>
      </c>
      <c r="BF108" s="54">
        <v>0</v>
      </c>
      <c r="BG108" s="54">
        <v>0</v>
      </c>
      <c r="BH108" s="54">
        <v>0</v>
      </c>
      <c r="BI108" s="54">
        <v>0</v>
      </c>
      <c r="BJ108" s="46">
        <f t="shared" si="27"/>
        <v>0</v>
      </c>
      <c r="BK108" s="50"/>
      <c r="BL108" s="54">
        <v>0</v>
      </c>
      <c r="BM108" s="54">
        <v>0</v>
      </c>
      <c r="BN108" s="54">
        <v>0</v>
      </c>
      <c r="BO108" s="54">
        <v>0</v>
      </c>
      <c r="BP108" s="54">
        <v>0</v>
      </c>
      <c r="BQ108" s="54">
        <v>0</v>
      </c>
      <c r="BR108" s="54">
        <v>0</v>
      </c>
      <c r="BS108" s="47">
        <f t="shared" si="28"/>
        <v>0</v>
      </c>
      <c r="BT108" s="46"/>
      <c r="BU108" s="44">
        <f t="shared" si="29"/>
        <v>1</v>
      </c>
      <c r="BV108" s="44">
        <f t="shared" si="30"/>
        <v>5</v>
      </c>
      <c r="BW108" s="44">
        <f t="shared" si="31"/>
        <v>6</v>
      </c>
      <c r="BX108" s="44">
        <f t="shared" si="32"/>
        <v>0</v>
      </c>
      <c r="BY108" s="44">
        <f t="shared" si="33"/>
        <v>0</v>
      </c>
      <c r="BZ108" s="56"/>
      <c r="CA108" s="44">
        <f t="shared" si="34"/>
        <v>6</v>
      </c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</row>
    <row r="109" spans="1:100" s="49" customFormat="1" ht="15.75" customHeight="1" x14ac:dyDescent="0.25">
      <c r="A109" s="40" t="s">
        <v>531</v>
      </c>
      <c r="B109" s="54" t="s">
        <v>571</v>
      </c>
      <c r="C109" s="54">
        <v>-33532183</v>
      </c>
      <c r="D109" s="54">
        <v>-70623736</v>
      </c>
      <c r="E109" s="54" t="s">
        <v>578</v>
      </c>
      <c r="F109" s="54">
        <v>-33532183</v>
      </c>
      <c r="G109" s="54">
        <v>-70623736</v>
      </c>
      <c r="H109" s="54" t="s">
        <v>579</v>
      </c>
      <c r="I109" s="54">
        <v>1</v>
      </c>
      <c r="J109" s="54">
        <v>0</v>
      </c>
      <c r="K109" s="54">
        <v>0</v>
      </c>
      <c r="L109" s="54">
        <v>0</v>
      </c>
      <c r="M109" s="54">
        <v>1</v>
      </c>
      <c r="N109" s="54">
        <v>1</v>
      </c>
      <c r="O109" s="54">
        <v>1</v>
      </c>
      <c r="P109" s="54">
        <v>0</v>
      </c>
      <c r="Q109" s="54">
        <v>1</v>
      </c>
      <c r="R109" s="54">
        <v>1</v>
      </c>
      <c r="S109" s="54">
        <v>1</v>
      </c>
      <c r="T109" s="54">
        <v>1</v>
      </c>
      <c r="U109" s="54">
        <v>0</v>
      </c>
      <c r="V109" s="54">
        <v>0</v>
      </c>
      <c r="W109" s="54">
        <v>1</v>
      </c>
      <c r="X109" s="54">
        <v>1</v>
      </c>
      <c r="Y109" s="54">
        <v>0</v>
      </c>
      <c r="Z109" s="54">
        <v>1</v>
      </c>
      <c r="AA109" s="54">
        <v>1</v>
      </c>
      <c r="AB109" s="54">
        <v>0</v>
      </c>
      <c r="AC109" s="54">
        <v>1</v>
      </c>
      <c r="AD109" s="54">
        <v>1</v>
      </c>
      <c r="AE109" s="54">
        <v>1</v>
      </c>
      <c r="AF109" s="54">
        <v>1</v>
      </c>
      <c r="AG109" s="54">
        <v>1</v>
      </c>
      <c r="AH109" s="54">
        <v>1</v>
      </c>
      <c r="AI109" s="54">
        <v>1</v>
      </c>
      <c r="AJ109" s="54">
        <v>1</v>
      </c>
      <c r="AK109" s="46">
        <f t="shared" si="25"/>
        <v>20</v>
      </c>
      <c r="AL109" s="55"/>
      <c r="AM109" s="41">
        <v>1</v>
      </c>
      <c r="AN109" s="41">
        <v>1</v>
      </c>
      <c r="AO109" s="54">
        <v>1</v>
      </c>
      <c r="AP109" s="54">
        <v>1</v>
      </c>
      <c r="AQ109" s="54">
        <v>1</v>
      </c>
      <c r="AR109" s="54">
        <v>0</v>
      </c>
      <c r="AS109" s="54">
        <v>0</v>
      </c>
      <c r="AT109" s="54">
        <v>0</v>
      </c>
      <c r="AU109" s="54">
        <v>1</v>
      </c>
      <c r="AV109" s="54">
        <v>1</v>
      </c>
      <c r="AW109" s="54">
        <v>1</v>
      </c>
      <c r="AX109" s="54">
        <v>0</v>
      </c>
      <c r="AY109" s="54">
        <v>1</v>
      </c>
      <c r="AZ109" s="46">
        <f t="shared" si="26"/>
        <v>9</v>
      </c>
      <c r="BA109" s="46"/>
      <c r="BB109" s="54">
        <v>0</v>
      </c>
      <c r="BC109" s="54">
        <v>1</v>
      </c>
      <c r="BD109" s="54">
        <v>0</v>
      </c>
      <c r="BE109" s="54">
        <v>0</v>
      </c>
      <c r="BF109" s="54">
        <v>0</v>
      </c>
      <c r="BG109" s="54">
        <v>0</v>
      </c>
      <c r="BH109" s="54">
        <v>0</v>
      </c>
      <c r="BI109" s="54">
        <v>0</v>
      </c>
      <c r="BJ109" s="46">
        <f t="shared" si="27"/>
        <v>1</v>
      </c>
      <c r="BK109" s="50"/>
      <c r="BL109" s="54">
        <v>0</v>
      </c>
      <c r="BM109" s="54">
        <v>0</v>
      </c>
      <c r="BN109" s="54">
        <v>0</v>
      </c>
      <c r="BO109" s="54">
        <v>0</v>
      </c>
      <c r="BP109" s="54">
        <v>0</v>
      </c>
      <c r="BQ109" s="54">
        <v>0</v>
      </c>
      <c r="BR109" s="54">
        <v>0</v>
      </c>
      <c r="BS109" s="47">
        <f t="shared" si="28"/>
        <v>0</v>
      </c>
      <c r="BT109" s="46"/>
      <c r="BU109" s="44">
        <f t="shared" si="29"/>
        <v>20</v>
      </c>
      <c r="BV109" s="44">
        <f t="shared" si="30"/>
        <v>9</v>
      </c>
      <c r="BW109" s="44">
        <f t="shared" si="31"/>
        <v>29</v>
      </c>
      <c r="BX109" s="44">
        <f t="shared" si="32"/>
        <v>1</v>
      </c>
      <c r="BY109" s="44">
        <f t="shared" si="33"/>
        <v>0</v>
      </c>
      <c r="BZ109" s="56"/>
      <c r="CA109" s="44">
        <f t="shared" si="34"/>
        <v>30</v>
      </c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</row>
    <row r="110" spans="1:100" s="49" customFormat="1" ht="15.75" customHeight="1" x14ac:dyDescent="0.25">
      <c r="A110" s="40" t="s">
        <v>531</v>
      </c>
      <c r="B110" s="54" t="s">
        <v>475</v>
      </c>
      <c r="C110" s="54">
        <v>-33532134</v>
      </c>
      <c r="D110" s="54">
        <v>-70623153</v>
      </c>
      <c r="E110" s="54" t="s">
        <v>580</v>
      </c>
      <c r="F110" s="54">
        <v>-33532134</v>
      </c>
      <c r="G110" s="54">
        <v>-70623153</v>
      </c>
      <c r="H110" s="54" t="s">
        <v>210</v>
      </c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46">
        <f t="shared" si="25"/>
        <v>0</v>
      </c>
      <c r="AL110" s="46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46">
        <f t="shared" si="26"/>
        <v>0</v>
      </c>
      <c r="BA110" s="46"/>
      <c r="BB110" s="54"/>
      <c r="BC110" s="54"/>
      <c r="BD110" s="54"/>
      <c r="BE110" s="54"/>
      <c r="BF110" s="54"/>
      <c r="BG110" s="54"/>
      <c r="BH110" s="54"/>
      <c r="BI110" s="54"/>
      <c r="BJ110" s="46">
        <f t="shared" si="27"/>
        <v>0</v>
      </c>
      <c r="BK110" s="50"/>
      <c r="BL110" s="54"/>
      <c r="BM110" s="54"/>
      <c r="BN110" s="54"/>
      <c r="BO110" s="54"/>
      <c r="BP110" s="54"/>
      <c r="BQ110" s="54"/>
      <c r="BR110" s="54"/>
      <c r="BS110" s="47">
        <f t="shared" si="28"/>
        <v>0</v>
      </c>
      <c r="BT110" s="46"/>
      <c r="BU110" s="44">
        <f t="shared" si="29"/>
        <v>0</v>
      </c>
      <c r="BV110" s="44">
        <f t="shared" si="30"/>
        <v>0</v>
      </c>
      <c r="BW110" s="44">
        <f t="shared" si="31"/>
        <v>0</v>
      </c>
      <c r="BX110" s="44">
        <f t="shared" si="32"/>
        <v>0</v>
      </c>
      <c r="BY110" s="44">
        <f t="shared" si="33"/>
        <v>0</v>
      </c>
      <c r="BZ110" s="56"/>
      <c r="CA110" s="44">
        <f t="shared" si="34"/>
        <v>0</v>
      </c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</row>
    <row r="111" spans="1:100" s="49" customFormat="1" ht="15.75" customHeight="1" x14ac:dyDescent="0.25">
      <c r="A111" s="40" t="s">
        <v>531</v>
      </c>
      <c r="B111" s="54" t="s">
        <v>571</v>
      </c>
      <c r="C111" s="54">
        <v>-33532134</v>
      </c>
      <c r="D111" s="54">
        <v>-70523153</v>
      </c>
      <c r="E111" s="54" t="s">
        <v>581</v>
      </c>
      <c r="F111" s="54">
        <v>-33532134</v>
      </c>
      <c r="G111" s="54">
        <v>-70523153</v>
      </c>
      <c r="H111" s="54" t="s">
        <v>96</v>
      </c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46">
        <f t="shared" si="25"/>
        <v>0</v>
      </c>
      <c r="AL111" s="46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46">
        <f t="shared" si="26"/>
        <v>0</v>
      </c>
      <c r="BA111" s="46"/>
      <c r="BB111" s="54"/>
      <c r="BC111" s="54"/>
      <c r="BD111" s="54"/>
      <c r="BE111" s="54"/>
      <c r="BF111" s="54"/>
      <c r="BG111" s="54"/>
      <c r="BH111" s="54"/>
      <c r="BI111" s="54"/>
      <c r="BJ111" s="46">
        <f t="shared" si="27"/>
        <v>0</v>
      </c>
      <c r="BK111" s="50"/>
      <c r="BL111" s="54"/>
      <c r="BM111" s="54"/>
      <c r="BN111" s="54"/>
      <c r="BO111" s="54"/>
      <c r="BP111" s="54"/>
      <c r="BQ111" s="54"/>
      <c r="BR111" s="54"/>
      <c r="BS111" s="47">
        <f t="shared" si="28"/>
        <v>0</v>
      </c>
      <c r="BT111" s="46"/>
      <c r="BU111" s="44">
        <f t="shared" si="29"/>
        <v>0</v>
      </c>
      <c r="BV111" s="44">
        <f t="shared" si="30"/>
        <v>0</v>
      </c>
      <c r="BW111" s="44">
        <f t="shared" si="31"/>
        <v>0</v>
      </c>
      <c r="BX111" s="44">
        <f t="shared" si="32"/>
        <v>0</v>
      </c>
      <c r="BY111" s="44">
        <f t="shared" si="33"/>
        <v>0</v>
      </c>
      <c r="BZ111" s="56"/>
      <c r="CA111" s="44">
        <f t="shared" si="34"/>
        <v>0</v>
      </c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</row>
    <row r="112" spans="1:100" s="49" customFormat="1" ht="15.75" customHeight="1" x14ac:dyDescent="0.25">
      <c r="A112" s="40" t="s">
        <v>531</v>
      </c>
      <c r="B112" s="54" t="s">
        <v>571</v>
      </c>
      <c r="C112" s="54">
        <v>-33532142</v>
      </c>
      <c r="D112" s="54">
        <v>-70633075</v>
      </c>
      <c r="E112" s="54" t="s">
        <v>582</v>
      </c>
      <c r="F112" s="54">
        <v>-33532142</v>
      </c>
      <c r="G112" s="54">
        <v>-70633075</v>
      </c>
      <c r="H112" s="54" t="s">
        <v>94</v>
      </c>
      <c r="I112" s="54">
        <v>0</v>
      </c>
      <c r="J112" s="54">
        <v>0</v>
      </c>
      <c r="K112" s="54">
        <v>0</v>
      </c>
      <c r="L112" s="54">
        <v>0</v>
      </c>
      <c r="M112" s="54">
        <v>1</v>
      </c>
      <c r="N112" s="54">
        <v>1</v>
      </c>
      <c r="O112" s="54">
        <v>1</v>
      </c>
      <c r="P112" s="54">
        <v>0</v>
      </c>
      <c r="Q112" s="54">
        <v>1</v>
      </c>
      <c r="R112" s="54">
        <v>1</v>
      </c>
      <c r="S112" s="54">
        <v>0</v>
      </c>
      <c r="T112" s="54">
        <v>1</v>
      </c>
      <c r="U112" s="54">
        <v>0</v>
      </c>
      <c r="V112" s="54">
        <v>0</v>
      </c>
      <c r="W112" s="54">
        <v>1</v>
      </c>
      <c r="X112" s="54">
        <v>1</v>
      </c>
      <c r="Y112" s="54">
        <v>0</v>
      </c>
      <c r="Z112" s="54">
        <v>1</v>
      </c>
      <c r="AA112" s="54">
        <v>1</v>
      </c>
      <c r="AB112" s="54">
        <v>0</v>
      </c>
      <c r="AC112" s="54">
        <v>1</v>
      </c>
      <c r="AD112" s="54">
        <v>1</v>
      </c>
      <c r="AE112" s="54">
        <v>0</v>
      </c>
      <c r="AF112" s="54">
        <v>1</v>
      </c>
      <c r="AG112" s="54">
        <v>1</v>
      </c>
      <c r="AH112" s="54">
        <v>1</v>
      </c>
      <c r="AI112" s="54">
        <v>1</v>
      </c>
      <c r="AJ112" s="54">
        <v>1</v>
      </c>
      <c r="AK112" s="46">
        <f t="shared" si="25"/>
        <v>17</v>
      </c>
      <c r="AL112" s="55"/>
      <c r="AM112" s="41">
        <v>1</v>
      </c>
      <c r="AN112" s="41">
        <v>1</v>
      </c>
      <c r="AO112" s="54">
        <v>1</v>
      </c>
      <c r="AP112" s="54">
        <v>1</v>
      </c>
      <c r="AQ112" s="54">
        <v>1</v>
      </c>
      <c r="AR112" s="54">
        <v>1</v>
      </c>
      <c r="AS112" s="54">
        <v>1</v>
      </c>
      <c r="AT112" s="54">
        <v>0</v>
      </c>
      <c r="AU112" s="54">
        <v>1</v>
      </c>
      <c r="AV112" s="54">
        <v>1</v>
      </c>
      <c r="AW112" s="54">
        <v>0</v>
      </c>
      <c r="AX112" s="54">
        <v>0</v>
      </c>
      <c r="AY112" s="54">
        <v>1</v>
      </c>
      <c r="AZ112" s="46">
        <f t="shared" si="26"/>
        <v>10</v>
      </c>
      <c r="BA112" s="46"/>
      <c r="BB112" s="54">
        <v>0</v>
      </c>
      <c r="BC112" s="54">
        <v>1</v>
      </c>
      <c r="BD112" s="54">
        <v>0</v>
      </c>
      <c r="BE112" s="54">
        <v>0</v>
      </c>
      <c r="BF112" s="54">
        <v>0</v>
      </c>
      <c r="BG112" s="54">
        <v>1</v>
      </c>
      <c r="BH112" s="54">
        <v>0</v>
      </c>
      <c r="BI112" s="54">
        <v>0</v>
      </c>
      <c r="BJ112" s="46">
        <f t="shared" si="27"/>
        <v>2</v>
      </c>
      <c r="BK112" s="50"/>
      <c r="BL112" s="54">
        <v>0</v>
      </c>
      <c r="BM112" s="54">
        <v>0</v>
      </c>
      <c r="BN112" s="54">
        <v>0</v>
      </c>
      <c r="BO112" s="54">
        <v>0</v>
      </c>
      <c r="BP112" s="54">
        <v>0</v>
      </c>
      <c r="BQ112" s="54">
        <v>0</v>
      </c>
      <c r="BR112" s="54">
        <v>0</v>
      </c>
      <c r="BS112" s="47">
        <f t="shared" si="28"/>
        <v>0</v>
      </c>
      <c r="BT112" s="46"/>
      <c r="BU112" s="44">
        <f t="shared" si="29"/>
        <v>17</v>
      </c>
      <c r="BV112" s="44">
        <f t="shared" si="30"/>
        <v>10</v>
      </c>
      <c r="BW112" s="44">
        <f t="shared" si="31"/>
        <v>27</v>
      </c>
      <c r="BX112" s="44">
        <f t="shared" si="32"/>
        <v>2</v>
      </c>
      <c r="BY112" s="44">
        <f t="shared" si="33"/>
        <v>0</v>
      </c>
      <c r="BZ112" s="56"/>
      <c r="CA112" s="44">
        <f t="shared" si="34"/>
        <v>29</v>
      </c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</row>
    <row r="113" spans="1:89" s="49" customFormat="1" ht="15.75" customHeight="1" x14ac:dyDescent="0.25">
      <c r="A113" s="40" t="s">
        <v>531</v>
      </c>
      <c r="B113" s="54" t="s">
        <v>571</v>
      </c>
      <c r="C113" s="54">
        <v>-3353188</v>
      </c>
      <c r="D113" s="54">
        <v>-70622882</v>
      </c>
      <c r="E113" s="54" t="s">
        <v>583</v>
      </c>
      <c r="F113" s="54">
        <v>-3353188</v>
      </c>
      <c r="G113" s="54">
        <v>-70622882</v>
      </c>
      <c r="H113" s="54" t="s">
        <v>94</v>
      </c>
      <c r="I113" s="54">
        <v>0</v>
      </c>
      <c r="J113" s="54">
        <v>0</v>
      </c>
      <c r="K113" s="54">
        <v>0</v>
      </c>
      <c r="L113" s="54">
        <v>0</v>
      </c>
      <c r="M113" s="54">
        <v>0</v>
      </c>
      <c r="N113" s="54">
        <v>1</v>
      </c>
      <c r="O113" s="54">
        <v>1</v>
      </c>
      <c r="P113" s="54">
        <v>0</v>
      </c>
      <c r="Q113" s="54">
        <v>1</v>
      </c>
      <c r="R113" s="54">
        <v>1</v>
      </c>
      <c r="S113" s="54">
        <v>1</v>
      </c>
      <c r="T113" s="54">
        <v>0</v>
      </c>
      <c r="U113" s="54">
        <v>0</v>
      </c>
      <c r="V113" s="54">
        <v>0</v>
      </c>
      <c r="W113" s="54">
        <v>0</v>
      </c>
      <c r="X113" s="54">
        <v>0</v>
      </c>
      <c r="Y113" s="54">
        <v>0</v>
      </c>
      <c r="Z113" s="54">
        <v>0</v>
      </c>
      <c r="AA113" s="54">
        <v>1</v>
      </c>
      <c r="AB113" s="54">
        <v>0</v>
      </c>
      <c r="AC113" s="54">
        <v>1</v>
      </c>
      <c r="AD113" s="54">
        <v>1</v>
      </c>
      <c r="AE113" s="54">
        <v>0</v>
      </c>
      <c r="AF113" s="54">
        <v>1</v>
      </c>
      <c r="AG113" s="54">
        <v>1</v>
      </c>
      <c r="AH113" s="54">
        <v>1</v>
      </c>
      <c r="AI113" s="54">
        <v>1</v>
      </c>
      <c r="AJ113" s="54">
        <v>1</v>
      </c>
      <c r="AK113" s="46">
        <f t="shared" si="25"/>
        <v>13</v>
      </c>
      <c r="AL113" s="55"/>
      <c r="AM113" s="41">
        <v>1</v>
      </c>
      <c r="AN113" s="41">
        <v>1</v>
      </c>
      <c r="AO113" s="54">
        <v>1</v>
      </c>
      <c r="AP113" s="54">
        <v>1</v>
      </c>
      <c r="AQ113" s="54">
        <v>1</v>
      </c>
      <c r="AR113" s="54">
        <v>1</v>
      </c>
      <c r="AS113" s="54">
        <v>1</v>
      </c>
      <c r="AT113" s="54">
        <v>0</v>
      </c>
      <c r="AU113" s="54">
        <v>1</v>
      </c>
      <c r="AV113" s="54">
        <v>1</v>
      </c>
      <c r="AW113" s="54">
        <v>1</v>
      </c>
      <c r="AX113" s="54">
        <v>0</v>
      </c>
      <c r="AY113" s="54">
        <v>0</v>
      </c>
      <c r="AZ113" s="46">
        <f t="shared" si="26"/>
        <v>10</v>
      </c>
      <c r="BA113" s="46"/>
      <c r="BB113" s="54">
        <v>0</v>
      </c>
      <c r="BC113" s="54">
        <v>0</v>
      </c>
      <c r="BD113" s="54">
        <v>0</v>
      </c>
      <c r="BE113" s="54">
        <v>0</v>
      </c>
      <c r="BF113" s="54">
        <v>0</v>
      </c>
      <c r="BG113" s="54">
        <v>0</v>
      </c>
      <c r="BH113" s="54">
        <v>0</v>
      </c>
      <c r="BI113" s="54">
        <v>0</v>
      </c>
      <c r="BJ113" s="46">
        <f t="shared" si="27"/>
        <v>0</v>
      </c>
      <c r="BK113" s="50"/>
      <c r="BL113" s="54">
        <v>0</v>
      </c>
      <c r="BM113" s="54">
        <v>0</v>
      </c>
      <c r="BN113" s="54">
        <v>0</v>
      </c>
      <c r="BO113" s="54">
        <v>0</v>
      </c>
      <c r="BP113" s="54">
        <v>0</v>
      </c>
      <c r="BQ113" s="54">
        <v>0</v>
      </c>
      <c r="BR113" s="54">
        <v>0</v>
      </c>
      <c r="BS113" s="47">
        <f t="shared" si="28"/>
        <v>0</v>
      </c>
      <c r="BT113" s="46"/>
      <c r="BU113" s="44">
        <f t="shared" si="29"/>
        <v>13</v>
      </c>
      <c r="BV113" s="44">
        <f t="shared" si="30"/>
        <v>10</v>
      </c>
      <c r="BW113" s="44">
        <f t="shared" si="31"/>
        <v>23</v>
      </c>
      <c r="BX113" s="44">
        <f t="shared" si="32"/>
        <v>0</v>
      </c>
      <c r="BY113" s="44">
        <f t="shared" si="33"/>
        <v>0</v>
      </c>
      <c r="BZ113" s="56"/>
      <c r="CA113" s="44">
        <f t="shared" si="34"/>
        <v>23</v>
      </c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</row>
    <row r="114" spans="1:89" s="49" customFormat="1" ht="15.75" customHeight="1" x14ac:dyDescent="0.25">
      <c r="A114" s="40" t="s">
        <v>531</v>
      </c>
      <c r="B114" s="54" t="s">
        <v>571</v>
      </c>
      <c r="C114" s="54">
        <v>-33533539</v>
      </c>
      <c r="D114" s="54">
        <v>-70622472</v>
      </c>
      <c r="E114" s="54" t="s">
        <v>584</v>
      </c>
      <c r="F114" s="54">
        <v>-33533539</v>
      </c>
      <c r="G114" s="54">
        <v>-70622472</v>
      </c>
      <c r="H114" s="54" t="s">
        <v>96</v>
      </c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46">
        <f t="shared" si="25"/>
        <v>0</v>
      </c>
      <c r="AL114" s="46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46">
        <f t="shared" si="26"/>
        <v>0</v>
      </c>
      <c r="BA114" s="46"/>
      <c r="BB114" s="54"/>
      <c r="BC114" s="54"/>
      <c r="BD114" s="54"/>
      <c r="BE114" s="54"/>
      <c r="BF114" s="54"/>
      <c r="BG114" s="54"/>
      <c r="BH114" s="54"/>
      <c r="BI114" s="54"/>
      <c r="BJ114" s="46">
        <f t="shared" si="27"/>
        <v>0</v>
      </c>
      <c r="BK114" s="50"/>
      <c r="BL114" s="54"/>
      <c r="BM114" s="54"/>
      <c r="BN114" s="54"/>
      <c r="BO114" s="54"/>
      <c r="BP114" s="54"/>
      <c r="BQ114" s="54"/>
      <c r="BR114" s="54"/>
      <c r="BS114" s="47">
        <f t="shared" si="28"/>
        <v>0</v>
      </c>
      <c r="BT114" s="46"/>
      <c r="BU114" s="44">
        <f t="shared" si="29"/>
        <v>0</v>
      </c>
      <c r="BV114" s="44">
        <f t="shared" si="30"/>
        <v>0</v>
      </c>
      <c r="BW114" s="44">
        <f t="shared" si="31"/>
        <v>0</v>
      </c>
      <c r="BX114" s="44">
        <f t="shared" si="32"/>
        <v>0</v>
      </c>
      <c r="BY114" s="44">
        <f t="shared" si="33"/>
        <v>0</v>
      </c>
      <c r="BZ114" s="56"/>
      <c r="CA114" s="44">
        <f t="shared" si="34"/>
        <v>0</v>
      </c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</row>
    <row r="115" spans="1:89" s="49" customFormat="1" ht="15.75" customHeight="1" x14ac:dyDescent="0.25">
      <c r="A115" s="40" t="s">
        <v>531</v>
      </c>
      <c r="B115" s="54" t="s">
        <v>571</v>
      </c>
      <c r="C115" s="54">
        <v>-33533721</v>
      </c>
      <c r="D115" s="54">
        <v>-70622212</v>
      </c>
      <c r="E115" s="54" t="s">
        <v>585</v>
      </c>
      <c r="F115" s="54">
        <v>-33533721</v>
      </c>
      <c r="G115" s="54">
        <v>-70622212</v>
      </c>
      <c r="H115" s="54" t="s">
        <v>132</v>
      </c>
      <c r="I115" s="54">
        <v>0</v>
      </c>
      <c r="J115" s="54">
        <v>0</v>
      </c>
      <c r="K115" s="54">
        <v>0</v>
      </c>
      <c r="L115" s="54">
        <v>1</v>
      </c>
      <c r="M115" s="54">
        <v>1</v>
      </c>
      <c r="N115" s="54">
        <v>1</v>
      </c>
      <c r="O115" s="54">
        <v>1</v>
      </c>
      <c r="P115" s="54">
        <v>0</v>
      </c>
      <c r="Q115" s="54">
        <v>1</v>
      </c>
      <c r="R115" s="54">
        <v>0</v>
      </c>
      <c r="S115" s="54">
        <v>1</v>
      </c>
      <c r="T115" s="54">
        <v>1</v>
      </c>
      <c r="U115" s="54">
        <v>0</v>
      </c>
      <c r="V115" s="54">
        <v>0</v>
      </c>
      <c r="W115" s="54">
        <v>1</v>
      </c>
      <c r="X115" s="54">
        <v>1</v>
      </c>
      <c r="Y115" s="54">
        <v>0</v>
      </c>
      <c r="Z115" s="54">
        <v>0</v>
      </c>
      <c r="AA115" s="54">
        <v>0</v>
      </c>
      <c r="AB115" s="54">
        <v>0</v>
      </c>
      <c r="AC115" s="54">
        <v>1</v>
      </c>
      <c r="AD115" s="54">
        <v>1</v>
      </c>
      <c r="AE115" s="54">
        <v>0</v>
      </c>
      <c r="AF115" s="54">
        <v>1</v>
      </c>
      <c r="AG115" s="54">
        <v>1</v>
      </c>
      <c r="AH115" s="54">
        <v>1</v>
      </c>
      <c r="AI115" s="54">
        <v>1</v>
      </c>
      <c r="AJ115" s="54">
        <v>1</v>
      </c>
      <c r="AK115" s="46">
        <f t="shared" si="25"/>
        <v>16</v>
      </c>
      <c r="AL115" s="55"/>
      <c r="AM115" s="41">
        <v>1</v>
      </c>
      <c r="AN115" s="41">
        <v>1</v>
      </c>
      <c r="AO115" s="54">
        <v>1</v>
      </c>
      <c r="AP115" s="54">
        <v>1</v>
      </c>
      <c r="AQ115" s="54">
        <v>1</v>
      </c>
      <c r="AR115" s="54">
        <v>0</v>
      </c>
      <c r="AS115" s="54">
        <v>1</v>
      </c>
      <c r="AT115" s="54">
        <v>0</v>
      </c>
      <c r="AU115" s="54">
        <v>0</v>
      </c>
      <c r="AV115" s="54">
        <v>0</v>
      </c>
      <c r="AW115" s="54">
        <v>1</v>
      </c>
      <c r="AX115" s="54">
        <v>1</v>
      </c>
      <c r="AY115" s="54">
        <v>1</v>
      </c>
      <c r="AZ115" s="46">
        <f t="shared" si="26"/>
        <v>9</v>
      </c>
      <c r="BA115" s="46"/>
      <c r="BB115" s="54">
        <v>0</v>
      </c>
      <c r="BC115" s="54">
        <v>0</v>
      </c>
      <c r="BD115" s="54">
        <v>0</v>
      </c>
      <c r="BE115" s="54">
        <v>0</v>
      </c>
      <c r="BF115" s="54">
        <v>0</v>
      </c>
      <c r="BG115" s="54">
        <v>0</v>
      </c>
      <c r="BH115" s="54">
        <v>0</v>
      </c>
      <c r="BI115" s="54">
        <v>0</v>
      </c>
      <c r="BJ115" s="46">
        <f t="shared" si="27"/>
        <v>0</v>
      </c>
      <c r="BK115" s="50"/>
      <c r="BL115" s="54">
        <v>0</v>
      </c>
      <c r="BM115" s="54">
        <v>0</v>
      </c>
      <c r="BN115" s="54">
        <v>0</v>
      </c>
      <c r="BO115" s="54">
        <v>0</v>
      </c>
      <c r="BP115" s="54">
        <v>0</v>
      </c>
      <c r="BQ115" s="54">
        <v>0</v>
      </c>
      <c r="BR115" s="54">
        <v>0</v>
      </c>
      <c r="BS115" s="47">
        <f t="shared" si="28"/>
        <v>0</v>
      </c>
      <c r="BT115" s="46"/>
      <c r="BU115" s="44">
        <f t="shared" si="29"/>
        <v>16</v>
      </c>
      <c r="BV115" s="44">
        <f t="shared" si="30"/>
        <v>9</v>
      </c>
      <c r="BW115" s="44">
        <f t="shared" si="31"/>
        <v>25</v>
      </c>
      <c r="BX115" s="44">
        <f t="shared" si="32"/>
        <v>0</v>
      </c>
      <c r="BY115" s="44">
        <f t="shared" si="33"/>
        <v>0</v>
      </c>
      <c r="BZ115" s="56"/>
      <c r="CA115" s="44">
        <f t="shared" si="34"/>
        <v>25</v>
      </c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</row>
    <row r="116" spans="1:89" s="49" customFormat="1" ht="15.75" customHeight="1" x14ac:dyDescent="0.25">
      <c r="A116" s="40" t="s">
        <v>531</v>
      </c>
      <c r="B116" s="54" t="s">
        <v>571</v>
      </c>
      <c r="C116" s="54">
        <v>-33531852</v>
      </c>
      <c r="D116" s="54">
        <v>-70621382</v>
      </c>
      <c r="E116" s="54" t="s">
        <v>586</v>
      </c>
      <c r="F116" s="54">
        <v>-33531852</v>
      </c>
      <c r="G116" s="54">
        <v>-70621382</v>
      </c>
      <c r="H116" s="54" t="s">
        <v>94</v>
      </c>
      <c r="I116" s="54">
        <v>0</v>
      </c>
      <c r="J116" s="54">
        <v>0</v>
      </c>
      <c r="K116" s="54">
        <v>0</v>
      </c>
      <c r="L116" s="54">
        <v>1</v>
      </c>
      <c r="M116" s="54">
        <v>1</v>
      </c>
      <c r="N116" s="54">
        <v>1</v>
      </c>
      <c r="O116" s="54">
        <v>1</v>
      </c>
      <c r="P116" s="54">
        <v>0</v>
      </c>
      <c r="Q116" s="54">
        <v>1</v>
      </c>
      <c r="R116" s="54">
        <v>0</v>
      </c>
      <c r="S116" s="54">
        <v>1</v>
      </c>
      <c r="T116" s="54">
        <v>1</v>
      </c>
      <c r="U116" s="54">
        <v>0</v>
      </c>
      <c r="V116" s="54">
        <v>0</v>
      </c>
      <c r="W116" s="54">
        <v>1</v>
      </c>
      <c r="X116" s="54">
        <v>1</v>
      </c>
      <c r="Y116" s="54">
        <v>0</v>
      </c>
      <c r="Z116" s="54">
        <v>0</v>
      </c>
      <c r="AA116" s="54">
        <v>0</v>
      </c>
      <c r="AB116" s="54">
        <v>0</v>
      </c>
      <c r="AC116" s="54">
        <v>1</v>
      </c>
      <c r="AD116" s="54">
        <v>1</v>
      </c>
      <c r="AE116" s="54">
        <v>0</v>
      </c>
      <c r="AF116" s="54">
        <v>1</v>
      </c>
      <c r="AG116" s="54">
        <v>1</v>
      </c>
      <c r="AH116" s="54">
        <v>1</v>
      </c>
      <c r="AI116" s="54">
        <v>0</v>
      </c>
      <c r="AJ116" s="54">
        <v>0</v>
      </c>
      <c r="AK116" s="46">
        <f t="shared" si="25"/>
        <v>14</v>
      </c>
      <c r="AL116" s="46"/>
      <c r="AM116" s="54">
        <v>1</v>
      </c>
      <c r="AN116" s="54">
        <v>1</v>
      </c>
      <c r="AO116" s="54">
        <v>1</v>
      </c>
      <c r="AP116" s="54">
        <v>1</v>
      </c>
      <c r="AQ116" s="54">
        <v>1</v>
      </c>
      <c r="AR116" s="54">
        <v>0</v>
      </c>
      <c r="AS116" s="54">
        <v>1</v>
      </c>
      <c r="AT116" s="54">
        <v>0</v>
      </c>
      <c r="AU116" s="54">
        <v>0</v>
      </c>
      <c r="AV116" s="54">
        <v>0</v>
      </c>
      <c r="AW116" s="54">
        <v>1</v>
      </c>
      <c r="AX116" s="54">
        <v>1</v>
      </c>
      <c r="AY116" s="54">
        <v>1</v>
      </c>
      <c r="AZ116" s="46">
        <f t="shared" si="26"/>
        <v>9</v>
      </c>
      <c r="BA116" s="46"/>
      <c r="BB116" s="54">
        <v>0</v>
      </c>
      <c r="BC116" s="54">
        <v>0</v>
      </c>
      <c r="BD116" s="54">
        <v>0</v>
      </c>
      <c r="BE116" s="54">
        <v>0</v>
      </c>
      <c r="BF116" s="54">
        <v>0</v>
      </c>
      <c r="BG116" s="54">
        <v>0</v>
      </c>
      <c r="BH116" s="54">
        <v>0</v>
      </c>
      <c r="BI116" s="54">
        <v>0</v>
      </c>
      <c r="BJ116" s="46">
        <f t="shared" si="27"/>
        <v>0</v>
      </c>
      <c r="BK116" s="50"/>
      <c r="BL116" s="54">
        <v>0</v>
      </c>
      <c r="BM116" s="54">
        <v>0</v>
      </c>
      <c r="BN116" s="54">
        <v>0</v>
      </c>
      <c r="BO116" s="54">
        <v>0</v>
      </c>
      <c r="BP116" s="54">
        <v>0</v>
      </c>
      <c r="BQ116" s="54">
        <v>0</v>
      </c>
      <c r="BR116" s="54">
        <v>0</v>
      </c>
      <c r="BS116" s="47">
        <f t="shared" si="28"/>
        <v>0</v>
      </c>
      <c r="BT116" s="46"/>
      <c r="BU116" s="44">
        <f t="shared" si="29"/>
        <v>14</v>
      </c>
      <c r="BV116" s="44">
        <f t="shared" si="30"/>
        <v>9</v>
      </c>
      <c r="BW116" s="44">
        <f t="shared" si="31"/>
        <v>23</v>
      </c>
      <c r="BX116" s="44">
        <f t="shared" si="32"/>
        <v>0</v>
      </c>
      <c r="BY116" s="44">
        <f t="shared" si="33"/>
        <v>0</v>
      </c>
      <c r="BZ116" s="56"/>
      <c r="CA116" s="44">
        <f t="shared" si="34"/>
        <v>23</v>
      </c>
      <c r="CB116" s="56"/>
    </row>
    <row r="117" spans="1:89" s="49" customFormat="1" ht="15.75" customHeight="1" x14ac:dyDescent="0.25">
      <c r="A117" s="40" t="s">
        <v>531</v>
      </c>
      <c r="B117" s="54" t="s">
        <v>571</v>
      </c>
      <c r="C117" s="54">
        <v>-335318</v>
      </c>
      <c r="D117" s="54">
        <v>-70620496</v>
      </c>
      <c r="E117" s="54" t="s">
        <v>587</v>
      </c>
      <c r="F117" s="54">
        <v>-335318</v>
      </c>
      <c r="G117" s="54">
        <v>-70620496</v>
      </c>
      <c r="H117" s="54" t="s">
        <v>285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4">
        <v>0</v>
      </c>
      <c r="P117" s="54">
        <v>0</v>
      </c>
      <c r="Q117" s="54">
        <v>0</v>
      </c>
      <c r="R117" s="54">
        <v>0</v>
      </c>
      <c r="S117" s="54">
        <v>0</v>
      </c>
      <c r="T117" s="54">
        <v>0</v>
      </c>
      <c r="U117" s="54">
        <v>0</v>
      </c>
      <c r="V117" s="54">
        <v>1</v>
      </c>
      <c r="W117" s="54">
        <v>1</v>
      </c>
      <c r="X117" s="54">
        <v>0</v>
      </c>
      <c r="Y117" s="54">
        <v>0</v>
      </c>
      <c r="Z117" s="54">
        <v>0</v>
      </c>
      <c r="AA117" s="54">
        <v>0</v>
      </c>
      <c r="AB117" s="54">
        <v>0</v>
      </c>
      <c r="AC117" s="54">
        <v>0</v>
      </c>
      <c r="AD117" s="54">
        <v>0</v>
      </c>
      <c r="AE117" s="54">
        <v>0</v>
      </c>
      <c r="AF117" s="54">
        <v>0</v>
      </c>
      <c r="AG117" s="54">
        <v>0</v>
      </c>
      <c r="AH117" s="54">
        <v>0</v>
      </c>
      <c r="AI117" s="54">
        <v>0</v>
      </c>
      <c r="AJ117" s="54">
        <v>1</v>
      </c>
      <c r="AK117" s="46">
        <f t="shared" si="25"/>
        <v>3</v>
      </c>
      <c r="AL117" s="46"/>
      <c r="AM117" s="54">
        <v>0</v>
      </c>
      <c r="AN117" s="54">
        <v>0</v>
      </c>
      <c r="AO117" s="54">
        <v>0</v>
      </c>
      <c r="AP117" s="54">
        <v>0</v>
      </c>
      <c r="AQ117" s="54">
        <v>0</v>
      </c>
      <c r="AR117" s="54">
        <v>0</v>
      </c>
      <c r="AS117" s="54">
        <v>0</v>
      </c>
      <c r="AT117" s="54">
        <v>1</v>
      </c>
      <c r="AU117" s="54">
        <v>1</v>
      </c>
      <c r="AV117" s="54">
        <v>0</v>
      </c>
      <c r="AW117" s="54">
        <v>0</v>
      </c>
      <c r="AX117" s="54">
        <v>0</v>
      </c>
      <c r="AY117" s="54">
        <v>0</v>
      </c>
      <c r="AZ117" s="46">
        <f t="shared" si="26"/>
        <v>2</v>
      </c>
      <c r="BA117" s="46"/>
      <c r="BB117" s="54">
        <v>0</v>
      </c>
      <c r="BC117" s="54">
        <v>0</v>
      </c>
      <c r="BD117" s="54">
        <v>0</v>
      </c>
      <c r="BE117" s="54">
        <v>0</v>
      </c>
      <c r="BF117" s="54">
        <v>0</v>
      </c>
      <c r="BG117" s="54">
        <v>0</v>
      </c>
      <c r="BH117" s="54">
        <v>0</v>
      </c>
      <c r="BI117" s="54">
        <v>0</v>
      </c>
      <c r="BJ117" s="46">
        <f t="shared" si="27"/>
        <v>0</v>
      </c>
      <c r="BK117" s="50"/>
      <c r="BL117" s="54"/>
      <c r="BM117" s="54"/>
      <c r="BN117" s="54"/>
      <c r="BO117" s="54"/>
      <c r="BP117" s="54"/>
      <c r="BQ117" s="54"/>
      <c r="BR117" s="54"/>
      <c r="BS117" s="47">
        <f t="shared" si="28"/>
        <v>0</v>
      </c>
      <c r="BT117" s="46"/>
      <c r="BU117" s="44">
        <f t="shared" si="29"/>
        <v>3</v>
      </c>
      <c r="BV117" s="44">
        <f t="shared" si="30"/>
        <v>2</v>
      </c>
      <c r="BW117" s="44">
        <f t="shared" si="31"/>
        <v>5</v>
      </c>
      <c r="BX117" s="44">
        <f t="shared" si="32"/>
        <v>0</v>
      </c>
      <c r="BY117" s="44">
        <f t="shared" si="33"/>
        <v>0</v>
      </c>
      <c r="BZ117" s="56"/>
      <c r="CA117" s="44">
        <f t="shared" si="34"/>
        <v>5</v>
      </c>
      <c r="CB117" s="56"/>
    </row>
    <row r="118" spans="1:89" s="49" customFormat="1" ht="15.75" customHeight="1" x14ac:dyDescent="0.25">
      <c r="A118" s="40" t="s">
        <v>531</v>
      </c>
      <c r="B118" s="54" t="s">
        <v>571</v>
      </c>
      <c r="C118" s="54">
        <v>-33532493</v>
      </c>
      <c r="D118" s="54">
        <v>-7062007</v>
      </c>
      <c r="E118" s="54" t="s">
        <v>588</v>
      </c>
      <c r="F118" s="54">
        <v>-33532493</v>
      </c>
      <c r="G118" s="54">
        <v>-7062007</v>
      </c>
      <c r="H118" s="54" t="s">
        <v>94</v>
      </c>
      <c r="I118" s="54">
        <v>1</v>
      </c>
      <c r="J118" s="54">
        <v>0</v>
      </c>
      <c r="K118" s="54">
        <v>0</v>
      </c>
      <c r="L118" s="54">
        <v>1</v>
      </c>
      <c r="M118" s="54">
        <v>1</v>
      </c>
      <c r="N118" s="54">
        <v>1</v>
      </c>
      <c r="O118" s="54">
        <v>1</v>
      </c>
      <c r="P118" s="54">
        <v>0</v>
      </c>
      <c r="Q118" s="54">
        <v>1</v>
      </c>
      <c r="R118" s="54">
        <v>1</v>
      </c>
      <c r="S118" s="54">
        <v>0</v>
      </c>
      <c r="T118" s="54">
        <v>1</v>
      </c>
      <c r="U118" s="54">
        <v>0</v>
      </c>
      <c r="V118" s="54">
        <v>0</v>
      </c>
      <c r="W118" s="54">
        <v>1</v>
      </c>
      <c r="X118" s="54">
        <v>1</v>
      </c>
      <c r="Y118" s="54">
        <v>0</v>
      </c>
      <c r="Z118" s="54">
        <v>1</v>
      </c>
      <c r="AA118" s="54">
        <v>0</v>
      </c>
      <c r="AB118" s="54">
        <v>0</v>
      </c>
      <c r="AC118" s="54">
        <v>1</v>
      </c>
      <c r="AD118" s="54">
        <v>1</v>
      </c>
      <c r="AE118" s="54">
        <v>0</v>
      </c>
      <c r="AF118" s="54">
        <v>1</v>
      </c>
      <c r="AG118" s="54">
        <v>1</v>
      </c>
      <c r="AH118" s="54">
        <v>1</v>
      </c>
      <c r="AI118" s="54">
        <v>1</v>
      </c>
      <c r="AJ118" s="54">
        <v>1</v>
      </c>
      <c r="AK118" s="46">
        <f t="shared" si="25"/>
        <v>18</v>
      </c>
      <c r="AL118" s="46"/>
      <c r="AM118" s="54">
        <v>1</v>
      </c>
      <c r="AN118" s="54">
        <v>1</v>
      </c>
      <c r="AO118" s="54">
        <v>1</v>
      </c>
      <c r="AP118" s="54">
        <v>1</v>
      </c>
      <c r="AQ118" s="54">
        <v>1</v>
      </c>
      <c r="AR118" s="54">
        <v>1</v>
      </c>
      <c r="AS118" s="54">
        <v>1</v>
      </c>
      <c r="AT118" s="54">
        <v>0</v>
      </c>
      <c r="AU118" s="54">
        <v>0</v>
      </c>
      <c r="AV118" s="54">
        <v>0</v>
      </c>
      <c r="AW118" s="54">
        <v>1</v>
      </c>
      <c r="AX118" s="54">
        <v>1</v>
      </c>
      <c r="AY118" s="54">
        <v>0</v>
      </c>
      <c r="AZ118" s="46">
        <f t="shared" si="26"/>
        <v>9</v>
      </c>
      <c r="BA118" s="46"/>
      <c r="BB118" s="54">
        <v>0</v>
      </c>
      <c r="BC118" s="54">
        <v>1</v>
      </c>
      <c r="BD118" s="54">
        <v>1</v>
      </c>
      <c r="BE118" s="54">
        <v>0</v>
      </c>
      <c r="BF118" s="54">
        <v>1</v>
      </c>
      <c r="BG118" s="54">
        <v>0</v>
      </c>
      <c r="BH118" s="54">
        <v>0</v>
      </c>
      <c r="BI118" s="54">
        <v>1</v>
      </c>
      <c r="BJ118" s="46">
        <f t="shared" si="27"/>
        <v>4</v>
      </c>
      <c r="BK118" s="50"/>
      <c r="BL118" s="54">
        <v>0</v>
      </c>
      <c r="BM118" s="54">
        <v>0</v>
      </c>
      <c r="BN118" s="54">
        <v>0</v>
      </c>
      <c r="BO118" s="54">
        <v>0</v>
      </c>
      <c r="BP118" s="54">
        <v>0</v>
      </c>
      <c r="BQ118" s="54">
        <v>0</v>
      </c>
      <c r="BR118" s="54">
        <v>0</v>
      </c>
      <c r="BS118" s="47">
        <f t="shared" si="28"/>
        <v>0</v>
      </c>
      <c r="BT118" s="46"/>
      <c r="BU118" s="44">
        <f t="shared" si="29"/>
        <v>18</v>
      </c>
      <c r="BV118" s="44">
        <f t="shared" si="30"/>
        <v>9</v>
      </c>
      <c r="BW118" s="44">
        <f t="shared" si="31"/>
        <v>27</v>
      </c>
      <c r="BX118" s="44">
        <f t="shared" si="32"/>
        <v>4</v>
      </c>
      <c r="BY118" s="44">
        <f t="shared" si="33"/>
        <v>0</v>
      </c>
      <c r="BZ118" s="56"/>
      <c r="CA118" s="44">
        <f t="shared" si="34"/>
        <v>31</v>
      </c>
      <c r="CB118" s="56"/>
    </row>
    <row r="119" spans="1:89" s="49" customFormat="1" ht="15.75" customHeight="1" x14ac:dyDescent="0.25">
      <c r="A119" s="40" t="s">
        <v>531</v>
      </c>
      <c r="B119" s="46" t="s">
        <v>85</v>
      </c>
      <c r="C119" s="53">
        <v>-3352980</v>
      </c>
      <c r="D119" s="53">
        <v>-7062310</v>
      </c>
      <c r="E119" s="46" t="s">
        <v>589</v>
      </c>
      <c r="F119" s="54">
        <v>-33532119</v>
      </c>
      <c r="G119" s="54">
        <v>-70620105</v>
      </c>
      <c r="H119" s="54" t="s">
        <v>94</v>
      </c>
      <c r="I119" s="54">
        <v>0</v>
      </c>
      <c r="J119" s="54">
        <v>0</v>
      </c>
      <c r="K119" s="54">
        <v>0</v>
      </c>
      <c r="L119" s="54">
        <v>0</v>
      </c>
      <c r="M119" s="54">
        <v>0</v>
      </c>
      <c r="N119" s="54">
        <v>1</v>
      </c>
      <c r="O119" s="54">
        <v>1</v>
      </c>
      <c r="P119" s="54">
        <v>0</v>
      </c>
      <c r="Q119" s="54">
        <v>1</v>
      </c>
      <c r="R119" s="54">
        <v>0</v>
      </c>
      <c r="S119" s="54">
        <v>0</v>
      </c>
      <c r="T119" s="54">
        <v>1</v>
      </c>
      <c r="U119" s="54">
        <v>0</v>
      </c>
      <c r="V119" s="54">
        <v>0</v>
      </c>
      <c r="W119" s="54">
        <v>1</v>
      </c>
      <c r="X119" s="54">
        <v>1</v>
      </c>
      <c r="Y119" s="54">
        <v>0</v>
      </c>
      <c r="Z119" s="54">
        <v>0</v>
      </c>
      <c r="AA119" s="54">
        <v>0</v>
      </c>
      <c r="AB119" s="54">
        <v>0</v>
      </c>
      <c r="AC119" s="54">
        <v>1</v>
      </c>
      <c r="AD119" s="54">
        <v>1</v>
      </c>
      <c r="AE119" s="54">
        <v>0</v>
      </c>
      <c r="AF119" s="54">
        <v>1</v>
      </c>
      <c r="AG119" s="54">
        <v>1</v>
      </c>
      <c r="AH119" s="54">
        <v>1</v>
      </c>
      <c r="AI119" s="54">
        <v>0</v>
      </c>
      <c r="AJ119" s="54">
        <v>0</v>
      </c>
      <c r="AK119" s="46">
        <f t="shared" si="25"/>
        <v>11</v>
      </c>
      <c r="AL119" s="46"/>
      <c r="AM119" s="54">
        <v>1</v>
      </c>
      <c r="AN119" s="54">
        <v>1</v>
      </c>
      <c r="AO119" s="54">
        <v>1</v>
      </c>
      <c r="AP119" s="54">
        <v>1</v>
      </c>
      <c r="AQ119" s="54">
        <v>1</v>
      </c>
      <c r="AR119" s="54">
        <v>0</v>
      </c>
      <c r="AS119" s="54">
        <v>1</v>
      </c>
      <c r="AT119" s="54">
        <v>0</v>
      </c>
      <c r="AU119" s="54">
        <v>0</v>
      </c>
      <c r="AV119" s="54">
        <v>0</v>
      </c>
      <c r="AW119" s="54">
        <v>1</v>
      </c>
      <c r="AX119" s="54">
        <v>0</v>
      </c>
      <c r="AY119" s="54">
        <v>1</v>
      </c>
      <c r="AZ119" s="46">
        <f t="shared" si="26"/>
        <v>8</v>
      </c>
      <c r="BA119" s="46"/>
      <c r="BB119" s="54">
        <v>0</v>
      </c>
      <c r="BC119" s="54">
        <v>0</v>
      </c>
      <c r="BD119" s="54">
        <v>0</v>
      </c>
      <c r="BE119" s="54">
        <v>0</v>
      </c>
      <c r="BF119" s="54">
        <v>0</v>
      </c>
      <c r="BG119" s="54">
        <v>0</v>
      </c>
      <c r="BH119" s="54">
        <v>0</v>
      </c>
      <c r="BI119" s="54">
        <v>0</v>
      </c>
      <c r="BJ119" s="46">
        <f t="shared" si="27"/>
        <v>0</v>
      </c>
      <c r="BK119" s="50"/>
      <c r="BL119" s="54">
        <v>0</v>
      </c>
      <c r="BM119" s="54">
        <v>0</v>
      </c>
      <c r="BN119" s="54">
        <v>0</v>
      </c>
      <c r="BO119" s="54">
        <v>0</v>
      </c>
      <c r="BP119" s="54">
        <v>0</v>
      </c>
      <c r="BQ119" s="54">
        <v>0</v>
      </c>
      <c r="BR119" s="54">
        <v>0</v>
      </c>
      <c r="BS119" s="47">
        <f t="shared" si="28"/>
        <v>0</v>
      </c>
      <c r="BT119" s="46"/>
      <c r="BU119" s="44">
        <f t="shared" si="29"/>
        <v>11</v>
      </c>
      <c r="BV119" s="44">
        <f t="shared" si="30"/>
        <v>8</v>
      </c>
      <c r="BW119" s="44">
        <f t="shared" si="31"/>
        <v>19</v>
      </c>
      <c r="BX119" s="44">
        <f t="shared" si="32"/>
        <v>0</v>
      </c>
      <c r="BY119" s="44">
        <f t="shared" si="33"/>
        <v>0</v>
      </c>
      <c r="BZ119" s="56"/>
      <c r="CA119" s="44">
        <f t="shared" si="34"/>
        <v>19</v>
      </c>
      <c r="CB119" s="50"/>
    </row>
    <row r="120" spans="1:89" s="49" customFormat="1" ht="15.75" customHeight="1" x14ac:dyDescent="0.25">
      <c r="A120" s="40" t="s">
        <v>531</v>
      </c>
      <c r="B120" s="54" t="s">
        <v>85</v>
      </c>
      <c r="C120" s="54">
        <v>-33531744</v>
      </c>
      <c r="D120" s="54">
        <v>-70620029</v>
      </c>
      <c r="E120" s="54" t="s">
        <v>590</v>
      </c>
      <c r="F120" s="54">
        <v>-33531744</v>
      </c>
      <c r="G120" s="54">
        <v>-70620029</v>
      </c>
      <c r="H120" s="54" t="s">
        <v>210</v>
      </c>
      <c r="I120" s="54">
        <v>0</v>
      </c>
      <c r="J120" s="54">
        <v>0</v>
      </c>
      <c r="K120" s="54">
        <v>0</v>
      </c>
      <c r="L120" s="54">
        <v>0</v>
      </c>
      <c r="M120" s="54">
        <v>0</v>
      </c>
      <c r="N120" s="54">
        <v>0</v>
      </c>
      <c r="O120" s="54">
        <v>0</v>
      </c>
      <c r="P120" s="54">
        <v>0</v>
      </c>
      <c r="Q120" s="54">
        <v>0</v>
      </c>
      <c r="R120" s="54">
        <v>0</v>
      </c>
      <c r="S120" s="54">
        <v>0</v>
      </c>
      <c r="T120" s="54">
        <v>0</v>
      </c>
      <c r="U120" s="54">
        <v>1</v>
      </c>
      <c r="V120" s="54">
        <v>0</v>
      </c>
      <c r="W120" s="54">
        <v>0</v>
      </c>
      <c r="X120" s="54">
        <v>0</v>
      </c>
      <c r="Y120" s="54">
        <v>0</v>
      </c>
      <c r="Z120" s="54">
        <v>0</v>
      </c>
      <c r="AA120" s="54">
        <v>0</v>
      </c>
      <c r="AB120" s="54">
        <v>0</v>
      </c>
      <c r="AC120" s="54">
        <v>0</v>
      </c>
      <c r="AD120" s="54">
        <v>0</v>
      </c>
      <c r="AE120" s="54">
        <v>0</v>
      </c>
      <c r="AF120" s="54">
        <v>0</v>
      </c>
      <c r="AG120" s="54">
        <v>0</v>
      </c>
      <c r="AH120" s="54">
        <v>0</v>
      </c>
      <c r="AI120" s="54">
        <v>0</v>
      </c>
      <c r="AJ120" s="54">
        <v>0</v>
      </c>
      <c r="AK120" s="46">
        <f t="shared" si="25"/>
        <v>1</v>
      </c>
      <c r="AL120" s="46"/>
      <c r="AM120" s="54">
        <v>0</v>
      </c>
      <c r="AN120" s="54">
        <v>0</v>
      </c>
      <c r="AO120" s="54">
        <v>1</v>
      </c>
      <c r="AP120" s="54">
        <v>0</v>
      </c>
      <c r="AQ120" s="54">
        <v>0</v>
      </c>
      <c r="AR120" s="54">
        <v>0</v>
      </c>
      <c r="AS120" s="54">
        <v>0</v>
      </c>
      <c r="AT120" s="54">
        <v>0</v>
      </c>
      <c r="AU120" s="54">
        <v>0</v>
      </c>
      <c r="AV120" s="54">
        <v>0</v>
      </c>
      <c r="AW120" s="54">
        <v>0</v>
      </c>
      <c r="AX120" s="54">
        <v>0</v>
      </c>
      <c r="AY120" s="54">
        <v>0</v>
      </c>
      <c r="AZ120" s="46">
        <f t="shared" si="26"/>
        <v>1</v>
      </c>
      <c r="BA120" s="46"/>
      <c r="BB120" s="54">
        <v>0</v>
      </c>
      <c r="BC120" s="54">
        <v>0</v>
      </c>
      <c r="BD120" s="54">
        <v>0</v>
      </c>
      <c r="BE120" s="54">
        <v>0</v>
      </c>
      <c r="BF120" s="54">
        <v>0</v>
      </c>
      <c r="BG120" s="54">
        <v>1</v>
      </c>
      <c r="BH120" s="54">
        <v>0</v>
      </c>
      <c r="BI120" s="54">
        <v>0</v>
      </c>
      <c r="BJ120" s="46">
        <f t="shared" si="27"/>
        <v>1</v>
      </c>
      <c r="BK120" s="50"/>
      <c r="BL120" s="54">
        <v>0</v>
      </c>
      <c r="BM120" s="54">
        <v>0</v>
      </c>
      <c r="BN120" s="54">
        <v>0</v>
      </c>
      <c r="BO120" s="54">
        <v>0</v>
      </c>
      <c r="BP120" s="54">
        <v>0</v>
      </c>
      <c r="BQ120" s="54">
        <v>0</v>
      </c>
      <c r="BR120" s="54">
        <v>0</v>
      </c>
      <c r="BS120" s="47">
        <f t="shared" si="28"/>
        <v>0</v>
      </c>
      <c r="BT120" s="46"/>
      <c r="BU120" s="44">
        <f t="shared" si="29"/>
        <v>1</v>
      </c>
      <c r="BV120" s="44">
        <f t="shared" si="30"/>
        <v>1</v>
      </c>
      <c r="BW120" s="44">
        <f t="shared" si="31"/>
        <v>2</v>
      </c>
      <c r="BX120" s="44">
        <f t="shared" si="32"/>
        <v>1</v>
      </c>
      <c r="BY120" s="44">
        <f t="shared" si="33"/>
        <v>0</v>
      </c>
      <c r="BZ120" s="56"/>
      <c r="CA120" s="44">
        <f t="shared" si="34"/>
        <v>3</v>
      </c>
      <c r="CB120" s="56"/>
    </row>
    <row r="121" spans="1:89" s="49" customFormat="1" ht="15.75" customHeight="1" x14ac:dyDescent="0.25">
      <c r="A121" s="40" t="s">
        <v>531</v>
      </c>
      <c r="B121" s="54" t="s">
        <v>85</v>
      </c>
      <c r="C121" s="54">
        <v>-33531744</v>
      </c>
      <c r="D121" s="54">
        <v>-70620029</v>
      </c>
      <c r="E121" s="54" t="s">
        <v>591</v>
      </c>
      <c r="F121" s="54">
        <v>-33531744</v>
      </c>
      <c r="G121" s="54">
        <v>-70620029</v>
      </c>
      <c r="H121" s="54" t="s">
        <v>96</v>
      </c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46">
        <f t="shared" si="25"/>
        <v>0</v>
      </c>
      <c r="AL121" s="46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46">
        <f t="shared" si="26"/>
        <v>0</v>
      </c>
      <c r="BA121" s="46"/>
      <c r="BB121" s="54"/>
      <c r="BC121" s="54"/>
      <c r="BD121" s="54"/>
      <c r="BE121" s="54"/>
      <c r="BF121" s="54"/>
      <c r="BG121" s="54"/>
      <c r="BH121" s="54"/>
      <c r="BI121" s="54"/>
      <c r="BJ121" s="46">
        <f t="shared" si="27"/>
        <v>0</v>
      </c>
      <c r="BK121" s="50"/>
      <c r="BL121" s="54"/>
      <c r="BM121" s="54"/>
      <c r="BN121" s="54"/>
      <c r="BO121" s="54"/>
      <c r="BP121" s="54"/>
      <c r="BQ121" s="54"/>
      <c r="BR121" s="54"/>
      <c r="BS121" s="47">
        <f t="shared" si="28"/>
        <v>0</v>
      </c>
      <c r="BT121" s="46"/>
      <c r="BU121" s="44">
        <f t="shared" si="29"/>
        <v>0</v>
      </c>
      <c r="BV121" s="44">
        <f t="shared" si="30"/>
        <v>0</v>
      </c>
      <c r="BW121" s="44">
        <f t="shared" si="31"/>
        <v>0</v>
      </c>
      <c r="BX121" s="44">
        <f t="shared" si="32"/>
        <v>0</v>
      </c>
      <c r="BY121" s="44">
        <f t="shared" si="33"/>
        <v>0</v>
      </c>
      <c r="BZ121" s="56"/>
      <c r="CA121" s="44">
        <f t="shared" si="34"/>
        <v>0</v>
      </c>
      <c r="CB121" s="56"/>
      <c r="CC121" s="57"/>
      <c r="CD121" s="57"/>
      <c r="CE121" s="57"/>
      <c r="CF121" s="57"/>
      <c r="CG121" s="57"/>
      <c r="CH121" s="57"/>
      <c r="CI121" s="57"/>
      <c r="CJ121" s="57"/>
      <c r="CK121" s="57"/>
    </row>
    <row r="122" spans="1:89" s="49" customFormat="1" ht="15.75" customHeight="1" x14ac:dyDescent="0.25">
      <c r="A122" s="40" t="s">
        <v>531</v>
      </c>
      <c r="B122" s="54" t="s">
        <v>85</v>
      </c>
      <c r="C122" s="54">
        <v>-33530821</v>
      </c>
      <c r="D122" s="54">
        <v>-70619108</v>
      </c>
      <c r="E122" s="54" t="s">
        <v>592</v>
      </c>
      <c r="F122" s="54">
        <v>-33530821</v>
      </c>
      <c r="G122" s="54">
        <v>-70619108</v>
      </c>
      <c r="H122" s="54" t="s">
        <v>96</v>
      </c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46">
        <f t="shared" si="25"/>
        <v>0</v>
      </c>
      <c r="AL122" s="46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46">
        <f t="shared" si="26"/>
        <v>0</v>
      </c>
      <c r="BA122" s="46"/>
      <c r="BB122" s="54"/>
      <c r="BC122" s="54"/>
      <c r="BD122" s="54"/>
      <c r="BE122" s="54"/>
      <c r="BF122" s="54"/>
      <c r="BG122" s="54"/>
      <c r="BH122" s="54"/>
      <c r="BI122" s="54"/>
      <c r="BJ122" s="46">
        <f t="shared" si="27"/>
        <v>0</v>
      </c>
      <c r="BK122" s="50"/>
      <c r="BL122" s="54"/>
      <c r="BM122" s="54"/>
      <c r="BN122" s="54"/>
      <c r="BO122" s="54"/>
      <c r="BP122" s="54"/>
      <c r="BQ122" s="54"/>
      <c r="BR122" s="54"/>
      <c r="BS122" s="47">
        <f t="shared" si="28"/>
        <v>0</v>
      </c>
      <c r="BT122" s="46"/>
      <c r="BU122" s="44">
        <f t="shared" si="29"/>
        <v>0</v>
      </c>
      <c r="BV122" s="44">
        <f t="shared" si="30"/>
        <v>0</v>
      </c>
      <c r="BW122" s="44">
        <f t="shared" si="31"/>
        <v>0</v>
      </c>
      <c r="BX122" s="44">
        <f t="shared" si="32"/>
        <v>0</v>
      </c>
      <c r="BY122" s="44">
        <f t="shared" si="33"/>
        <v>0</v>
      </c>
      <c r="BZ122" s="56"/>
      <c r="CA122" s="44">
        <f t="shared" si="34"/>
        <v>0</v>
      </c>
      <c r="CB122" s="56"/>
    </row>
    <row r="123" spans="1:89" s="49" customFormat="1" ht="15.75" customHeight="1" x14ac:dyDescent="0.25">
      <c r="A123" s="40" t="s">
        <v>531</v>
      </c>
      <c r="B123" s="46" t="s">
        <v>85</v>
      </c>
      <c r="C123" s="53">
        <v>-3352980</v>
      </c>
      <c r="D123" s="53">
        <v>-7062310</v>
      </c>
      <c r="E123" s="46" t="s">
        <v>593</v>
      </c>
      <c r="F123" s="54">
        <v>-33531722</v>
      </c>
      <c r="G123" s="54">
        <v>-70618805</v>
      </c>
      <c r="H123" s="54" t="s">
        <v>594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46">
        <f t="shared" si="25"/>
        <v>0</v>
      </c>
      <c r="AL123" s="46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46">
        <f t="shared" si="26"/>
        <v>0</v>
      </c>
      <c r="BA123" s="46"/>
      <c r="BB123" s="54"/>
      <c r="BC123" s="54"/>
      <c r="BD123" s="54"/>
      <c r="BE123" s="54"/>
      <c r="BF123" s="54"/>
      <c r="BG123" s="54"/>
      <c r="BH123" s="54"/>
      <c r="BI123" s="54"/>
      <c r="BJ123" s="46">
        <f t="shared" si="27"/>
        <v>0</v>
      </c>
      <c r="BK123" s="50"/>
      <c r="BL123" s="54"/>
      <c r="BM123" s="54"/>
      <c r="BN123" s="54"/>
      <c r="BO123" s="54"/>
      <c r="BP123" s="54"/>
      <c r="BQ123" s="54"/>
      <c r="BR123" s="54"/>
      <c r="BS123" s="47">
        <f t="shared" si="28"/>
        <v>0</v>
      </c>
      <c r="BT123" s="46"/>
      <c r="BU123" s="44">
        <f t="shared" si="29"/>
        <v>0</v>
      </c>
      <c r="BV123" s="44">
        <f t="shared" si="30"/>
        <v>0</v>
      </c>
      <c r="BW123" s="44">
        <f t="shared" si="31"/>
        <v>0</v>
      </c>
      <c r="BX123" s="44">
        <f t="shared" si="32"/>
        <v>0</v>
      </c>
      <c r="BY123" s="44">
        <f t="shared" si="33"/>
        <v>0</v>
      </c>
      <c r="BZ123" s="56"/>
      <c r="CA123" s="44">
        <f t="shared" si="34"/>
        <v>0</v>
      </c>
      <c r="CB123" s="50"/>
    </row>
    <row r="124" spans="1:89" s="49" customFormat="1" ht="15.75" customHeight="1" x14ac:dyDescent="0.25">
      <c r="A124" s="40" t="s">
        <v>531</v>
      </c>
      <c r="B124" s="46" t="s">
        <v>85</v>
      </c>
      <c r="C124" s="53">
        <v>-3352980</v>
      </c>
      <c r="D124" s="53">
        <v>-7062310</v>
      </c>
      <c r="E124" s="46" t="s">
        <v>595</v>
      </c>
      <c r="F124" s="54">
        <v>-33529292</v>
      </c>
      <c r="G124" s="54">
        <v>-70619304</v>
      </c>
      <c r="H124" s="54" t="s">
        <v>94</v>
      </c>
      <c r="I124" s="54">
        <v>0</v>
      </c>
      <c r="J124" s="54">
        <v>0</v>
      </c>
      <c r="K124" s="54">
        <v>0</v>
      </c>
      <c r="L124" s="54">
        <v>0</v>
      </c>
      <c r="M124" s="54">
        <v>1</v>
      </c>
      <c r="N124" s="54">
        <v>1</v>
      </c>
      <c r="O124" s="54">
        <v>1</v>
      </c>
      <c r="P124" s="54">
        <v>0</v>
      </c>
      <c r="Q124" s="54">
        <v>1</v>
      </c>
      <c r="R124" s="54">
        <v>0</v>
      </c>
      <c r="S124" s="54">
        <v>1</v>
      </c>
      <c r="T124" s="54">
        <v>1</v>
      </c>
      <c r="U124" s="54">
        <v>0</v>
      </c>
      <c r="V124" s="54">
        <v>0</v>
      </c>
      <c r="W124" s="54">
        <v>1</v>
      </c>
      <c r="X124" s="54">
        <v>1</v>
      </c>
      <c r="Y124" s="54">
        <v>0</v>
      </c>
      <c r="Z124" s="54">
        <v>0</v>
      </c>
      <c r="AA124" s="54">
        <v>0</v>
      </c>
      <c r="AB124" s="54">
        <v>0</v>
      </c>
      <c r="AC124" s="54">
        <v>1</v>
      </c>
      <c r="AD124" s="54">
        <v>1</v>
      </c>
      <c r="AE124" s="54">
        <v>0</v>
      </c>
      <c r="AF124" s="54">
        <v>1</v>
      </c>
      <c r="AG124" s="54">
        <v>1</v>
      </c>
      <c r="AH124" s="54">
        <v>1</v>
      </c>
      <c r="AI124" s="54">
        <v>0</v>
      </c>
      <c r="AJ124" s="54">
        <v>0</v>
      </c>
      <c r="AK124" s="46">
        <f t="shared" si="25"/>
        <v>13</v>
      </c>
      <c r="AL124" s="46"/>
      <c r="AM124" s="54">
        <v>1</v>
      </c>
      <c r="AN124" s="54">
        <v>1</v>
      </c>
      <c r="AO124" s="54">
        <v>1</v>
      </c>
      <c r="AP124" s="54">
        <v>1</v>
      </c>
      <c r="AQ124" s="54">
        <v>1</v>
      </c>
      <c r="AR124" s="54">
        <v>1</v>
      </c>
      <c r="AS124" s="54">
        <v>1</v>
      </c>
      <c r="AT124" s="54">
        <v>0</v>
      </c>
      <c r="AU124" s="54">
        <v>0</v>
      </c>
      <c r="AV124" s="54">
        <v>0</v>
      </c>
      <c r="AW124" s="54">
        <v>1</v>
      </c>
      <c r="AX124" s="54">
        <v>0</v>
      </c>
      <c r="AY124" s="54">
        <v>1</v>
      </c>
      <c r="AZ124" s="46">
        <f t="shared" si="26"/>
        <v>9</v>
      </c>
      <c r="BA124" s="46"/>
      <c r="BB124" s="54">
        <v>0</v>
      </c>
      <c r="BC124" s="54">
        <v>0</v>
      </c>
      <c r="BD124" s="54">
        <v>0</v>
      </c>
      <c r="BE124" s="54">
        <v>0</v>
      </c>
      <c r="BF124" s="54">
        <v>0</v>
      </c>
      <c r="BG124" s="54">
        <v>0</v>
      </c>
      <c r="BH124" s="54">
        <v>0</v>
      </c>
      <c r="BI124" s="54">
        <v>0</v>
      </c>
      <c r="BJ124" s="46">
        <f t="shared" si="27"/>
        <v>0</v>
      </c>
      <c r="BK124" s="50"/>
      <c r="BL124" s="54">
        <v>0</v>
      </c>
      <c r="BM124" s="54">
        <v>0</v>
      </c>
      <c r="BN124" s="54">
        <v>0</v>
      </c>
      <c r="BO124" s="54">
        <v>0</v>
      </c>
      <c r="BP124" s="54">
        <v>0</v>
      </c>
      <c r="BQ124" s="54">
        <v>0</v>
      </c>
      <c r="BR124" s="54">
        <v>0</v>
      </c>
      <c r="BS124" s="47">
        <f t="shared" si="28"/>
        <v>0</v>
      </c>
      <c r="BT124" s="46"/>
      <c r="BU124" s="44">
        <f t="shared" si="29"/>
        <v>13</v>
      </c>
      <c r="BV124" s="44">
        <f t="shared" si="30"/>
        <v>9</v>
      </c>
      <c r="BW124" s="44">
        <f t="shared" si="31"/>
        <v>22</v>
      </c>
      <c r="BX124" s="44">
        <f t="shared" si="32"/>
        <v>0</v>
      </c>
      <c r="BY124" s="44">
        <f t="shared" si="33"/>
        <v>0</v>
      </c>
      <c r="BZ124" s="56"/>
      <c r="CA124" s="44">
        <f t="shared" si="34"/>
        <v>22</v>
      </c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</row>
    <row r="125" spans="1:89" s="49" customFormat="1" ht="15.75" customHeight="1" x14ac:dyDescent="0.25">
      <c r="A125" s="40" t="s">
        <v>531</v>
      </c>
      <c r="B125" s="54" t="s">
        <v>85</v>
      </c>
      <c r="C125" s="54">
        <v>-33528607</v>
      </c>
      <c r="D125" s="54">
        <v>-70624138</v>
      </c>
      <c r="E125" s="54" t="s">
        <v>596</v>
      </c>
      <c r="F125" s="54">
        <v>-33528607</v>
      </c>
      <c r="G125" s="54">
        <v>-70624138</v>
      </c>
      <c r="H125" s="54" t="s">
        <v>597</v>
      </c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46">
        <f t="shared" si="25"/>
        <v>0</v>
      </c>
      <c r="AL125" s="46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46">
        <f t="shared" si="26"/>
        <v>0</v>
      </c>
      <c r="BA125" s="46"/>
      <c r="BB125" s="54"/>
      <c r="BC125" s="54"/>
      <c r="BD125" s="54"/>
      <c r="BE125" s="54"/>
      <c r="BF125" s="54"/>
      <c r="BG125" s="54"/>
      <c r="BH125" s="54"/>
      <c r="BI125" s="54"/>
      <c r="BJ125" s="46">
        <f t="shared" si="27"/>
        <v>0</v>
      </c>
      <c r="BK125" s="50"/>
      <c r="BL125" s="54"/>
      <c r="BM125" s="54"/>
      <c r="BN125" s="54"/>
      <c r="BO125" s="54"/>
      <c r="BP125" s="54"/>
      <c r="BQ125" s="54"/>
      <c r="BR125" s="54"/>
      <c r="BS125" s="47">
        <f t="shared" si="28"/>
        <v>0</v>
      </c>
      <c r="BT125" s="46"/>
      <c r="BU125" s="44">
        <f t="shared" si="29"/>
        <v>0</v>
      </c>
      <c r="BV125" s="44">
        <f t="shared" si="30"/>
        <v>0</v>
      </c>
      <c r="BW125" s="44">
        <f t="shared" si="31"/>
        <v>0</v>
      </c>
      <c r="BX125" s="44">
        <f t="shared" si="32"/>
        <v>0</v>
      </c>
      <c r="BY125" s="44">
        <f t="shared" si="33"/>
        <v>0</v>
      </c>
      <c r="BZ125" s="56"/>
      <c r="CA125" s="44">
        <f t="shared" si="34"/>
        <v>0</v>
      </c>
      <c r="CB125" s="56"/>
    </row>
    <row r="126" spans="1:89" s="49" customFormat="1" ht="15.75" customHeight="1" x14ac:dyDescent="0.25">
      <c r="A126" s="40" t="s">
        <v>531</v>
      </c>
      <c r="B126" s="54" t="s">
        <v>85</v>
      </c>
      <c r="C126" s="54">
        <v>-335270974</v>
      </c>
      <c r="D126" s="54">
        <v>-70618345</v>
      </c>
      <c r="E126" s="54" t="s">
        <v>598</v>
      </c>
      <c r="F126" s="54">
        <v>-335270974</v>
      </c>
      <c r="G126" s="54">
        <v>-70618345</v>
      </c>
      <c r="H126" s="54" t="s">
        <v>94</v>
      </c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46">
        <f t="shared" si="25"/>
        <v>0</v>
      </c>
      <c r="AL126" s="46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46">
        <f t="shared" si="26"/>
        <v>0</v>
      </c>
      <c r="BA126" s="46"/>
      <c r="BB126" s="54"/>
      <c r="BC126" s="54"/>
      <c r="BD126" s="54"/>
      <c r="BE126" s="54"/>
      <c r="BF126" s="54"/>
      <c r="BG126" s="54"/>
      <c r="BH126" s="54"/>
      <c r="BI126" s="54"/>
      <c r="BJ126" s="46">
        <f t="shared" si="27"/>
        <v>0</v>
      </c>
      <c r="BK126" s="50"/>
      <c r="BL126" s="54"/>
      <c r="BM126" s="54"/>
      <c r="BN126" s="54"/>
      <c r="BO126" s="54"/>
      <c r="BP126" s="54"/>
      <c r="BQ126" s="54"/>
      <c r="BR126" s="54"/>
      <c r="BS126" s="47">
        <f t="shared" si="28"/>
        <v>0</v>
      </c>
      <c r="BT126" s="46"/>
      <c r="BU126" s="44">
        <f t="shared" si="29"/>
        <v>0</v>
      </c>
      <c r="BV126" s="44">
        <f t="shared" si="30"/>
        <v>0</v>
      </c>
      <c r="BW126" s="44">
        <f t="shared" si="31"/>
        <v>0</v>
      </c>
      <c r="BX126" s="44">
        <f t="shared" si="32"/>
        <v>0</v>
      </c>
      <c r="BY126" s="44">
        <f t="shared" si="33"/>
        <v>0</v>
      </c>
      <c r="BZ126" s="56"/>
      <c r="CA126" s="44">
        <f t="shared" si="34"/>
        <v>0</v>
      </c>
      <c r="CB126" s="56"/>
    </row>
    <row r="127" spans="1:89" s="49" customFormat="1" ht="15.75" customHeight="1" x14ac:dyDescent="0.25">
      <c r="A127" s="40" t="s">
        <v>531</v>
      </c>
      <c r="B127" s="54" t="s">
        <v>85</v>
      </c>
      <c r="C127" s="54">
        <v>-33528901</v>
      </c>
      <c r="D127" s="54">
        <v>-70616864</v>
      </c>
      <c r="E127" s="54" t="s">
        <v>599</v>
      </c>
      <c r="F127" s="54">
        <v>-33528901</v>
      </c>
      <c r="G127" s="54">
        <v>-70616864</v>
      </c>
      <c r="H127" s="54" t="s">
        <v>94</v>
      </c>
      <c r="I127" s="54">
        <v>0</v>
      </c>
      <c r="J127" s="54">
        <v>0</v>
      </c>
      <c r="K127" s="54">
        <v>0</v>
      </c>
      <c r="L127" s="54">
        <v>1</v>
      </c>
      <c r="M127" s="54">
        <v>0</v>
      </c>
      <c r="N127" s="54">
        <v>1</v>
      </c>
      <c r="O127" s="54">
        <v>1</v>
      </c>
      <c r="P127" s="54">
        <v>0</v>
      </c>
      <c r="Q127" s="54">
        <v>1</v>
      </c>
      <c r="R127" s="54">
        <v>0</v>
      </c>
      <c r="S127" s="54">
        <v>0</v>
      </c>
      <c r="T127" s="54">
        <v>1</v>
      </c>
      <c r="U127" s="54">
        <v>0</v>
      </c>
      <c r="V127" s="54">
        <v>0</v>
      </c>
      <c r="W127" s="54">
        <v>0</v>
      </c>
      <c r="X127" s="54">
        <v>0</v>
      </c>
      <c r="Y127" s="54">
        <v>1</v>
      </c>
      <c r="Z127" s="54">
        <v>1</v>
      </c>
      <c r="AA127" s="54">
        <v>1</v>
      </c>
      <c r="AB127" s="54">
        <v>0</v>
      </c>
      <c r="AC127" s="54">
        <v>1</v>
      </c>
      <c r="AD127" s="54">
        <v>1</v>
      </c>
      <c r="AE127" s="54">
        <v>0</v>
      </c>
      <c r="AF127" s="54">
        <v>1</v>
      </c>
      <c r="AG127" s="54">
        <v>1</v>
      </c>
      <c r="AH127" s="54">
        <v>1</v>
      </c>
      <c r="AI127" s="54">
        <v>1</v>
      </c>
      <c r="AJ127" s="54">
        <v>1</v>
      </c>
      <c r="AK127" s="46">
        <f t="shared" si="25"/>
        <v>15</v>
      </c>
      <c r="AL127" s="46"/>
      <c r="AM127" s="54">
        <v>1</v>
      </c>
      <c r="AN127" s="54">
        <v>1</v>
      </c>
      <c r="AO127" s="54">
        <v>1</v>
      </c>
      <c r="AP127" s="54">
        <v>1</v>
      </c>
      <c r="AQ127" s="54">
        <v>1</v>
      </c>
      <c r="AR127" s="54">
        <v>1</v>
      </c>
      <c r="AS127" s="54">
        <v>1</v>
      </c>
      <c r="AT127" s="54">
        <v>0</v>
      </c>
      <c r="AU127" s="54">
        <v>0</v>
      </c>
      <c r="AV127" s="54">
        <v>0</v>
      </c>
      <c r="AW127" s="54">
        <v>1</v>
      </c>
      <c r="AX127" s="54">
        <v>1</v>
      </c>
      <c r="AY127" s="54">
        <v>1</v>
      </c>
      <c r="AZ127" s="46">
        <f t="shared" si="26"/>
        <v>10</v>
      </c>
      <c r="BA127" s="46"/>
      <c r="BB127" s="54">
        <v>0</v>
      </c>
      <c r="BC127" s="54">
        <v>0</v>
      </c>
      <c r="BD127" s="54">
        <v>0</v>
      </c>
      <c r="BE127" s="54">
        <v>0</v>
      </c>
      <c r="BF127" s="54">
        <v>0</v>
      </c>
      <c r="BG127" s="54">
        <v>0</v>
      </c>
      <c r="BH127" s="54">
        <v>0</v>
      </c>
      <c r="BI127" s="54">
        <v>0</v>
      </c>
      <c r="BJ127" s="46">
        <f t="shared" si="27"/>
        <v>0</v>
      </c>
      <c r="BK127" s="50"/>
      <c r="BL127" s="54">
        <v>0</v>
      </c>
      <c r="BM127" s="54">
        <v>0</v>
      </c>
      <c r="BN127" s="54">
        <v>0</v>
      </c>
      <c r="BO127" s="54">
        <v>0</v>
      </c>
      <c r="BP127" s="54">
        <v>0</v>
      </c>
      <c r="BQ127" s="54">
        <v>0</v>
      </c>
      <c r="BR127" s="54">
        <v>0</v>
      </c>
      <c r="BS127" s="47">
        <f t="shared" si="28"/>
        <v>0</v>
      </c>
      <c r="BT127" s="46"/>
      <c r="BU127" s="44">
        <f t="shared" si="29"/>
        <v>15</v>
      </c>
      <c r="BV127" s="44">
        <f t="shared" si="30"/>
        <v>10</v>
      </c>
      <c r="BW127" s="44">
        <f t="shared" si="31"/>
        <v>25</v>
      </c>
      <c r="BX127" s="44">
        <f t="shared" si="32"/>
        <v>0</v>
      </c>
      <c r="BY127" s="44">
        <f t="shared" si="33"/>
        <v>0</v>
      </c>
      <c r="BZ127" s="56"/>
      <c r="CA127" s="44">
        <f t="shared" si="34"/>
        <v>25</v>
      </c>
      <c r="CB127" s="56"/>
    </row>
    <row r="128" spans="1:89" s="49" customFormat="1" ht="15.75" customHeight="1" x14ac:dyDescent="0.25">
      <c r="A128" s="40" t="s">
        <v>531</v>
      </c>
      <c r="B128" s="54" t="s">
        <v>85</v>
      </c>
      <c r="C128" s="54">
        <v>-33529552</v>
      </c>
      <c r="D128" s="54">
        <v>-70618623</v>
      </c>
      <c r="E128" s="54" t="s">
        <v>600</v>
      </c>
      <c r="F128" s="54">
        <v>-33529552</v>
      </c>
      <c r="G128" s="54">
        <v>-70618623</v>
      </c>
      <c r="H128" s="54" t="s">
        <v>94</v>
      </c>
      <c r="I128" s="54">
        <v>0</v>
      </c>
      <c r="J128" s="54">
        <v>0</v>
      </c>
      <c r="K128" s="54">
        <v>0</v>
      </c>
      <c r="L128" s="54">
        <v>0</v>
      </c>
      <c r="M128" s="54">
        <v>0</v>
      </c>
      <c r="N128" s="54">
        <v>1</v>
      </c>
      <c r="O128" s="54">
        <v>0</v>
      </c>
      <c r="P128" s="54">
        <v>0</v>
      </c>
      <c r="Q128" s="54">
        <v>0</v>
      </c>
      <c r="R128" s="54">
        <v>0</v>
      </c>
      <c r="S128" s="54">
        <v>0</v>
      </c>
      <c r="T128" s="54">
        <v>1</v>
      </c>
      <c r="U128" s="54">
        <v>0</v>
      </c>
      <c r="V128" s="54">
        <v>0</v>
      </c>
      <c r="W128" s="54">
        <v>0</v>
      </c>
      <c r="X128" s="54">
        <v>1</v>
      </c>
      <c r="Y128" s="54">
        <v>0</v>
      </c>
      <c r="Z128" s="54">
        <v>0</v>
      </c>
      <c r="AA128" s="54">
        <v>0</v>
      </c>
      <c r="AB128" s="54">
        <v>0</v>
      </c>
      <c r="AC128" s="54">
        <v>1</v>
      </c>
      <c r="AD128" s="54">
        <v>1</v>
      </c>
      <c r="AE128" s="54">
        <v>0</v>
      </c>
      <c r="AF128" s="54">
        <v>1</v>
      </c>
      <c r="AG128" s="54">
        <v>1</v>
      </c>
      <c r="AH128" s="54">
        <v>1</v>
      </c>
      <c r="AI128" s="54">
        <v>1</v>
      </c>
      <c r="AJ128" s="54">
        <v>1</v>
      </c>
      <c r="AK128" s="46">
        <f t="shared" si="25"/>
        <v>10</v>
      </c>
      <c r="AL128" s="46"/>
      <c r="AM128" s="54">
        <v>1</v>
      </c>
      <c r="AN128" s="54">
        <v>1</v>
      </c>
      <c r="AO128" s="54">
        <v>1</v>
      </c>
      <c r="AP128" s="54">
        <v>1</v>
      </c>
      <c r="AQ128" s="54">
        <v>1</v>
      </c>
      <c r="AR128" s="54">
        <v>0</v>
      </c>
      <c r="AS128" s="54">
        <v>0</v>
      </c>
      <c r="AT128" s="54">
        <v>1</v>
      </c>
      <c r="AU128" s="54">
        <v>1</v>
      </c>
      <c r="AV128" s="54">
        <v>0</v>
      </c>
      <c r="AW128" s="54">
        <v>1</v>
      </c>
      <c r="AX128" s="54">
        <v>1</v>
      </c>
      <c r="AY128" s="54">
        <v>1</v>
      </c>
      <c r="AZ128" s="46">
        <f t="shared" si="26"/>
        <v>10</v>
      </c>
      <c r="BA128" s="46"/>
      <c r="BB128" s="54">
        <v>0</v>
      </c>
      <c r="BC128" s="54">
        <v>0</v>
      </c>
      <c r="BD128" s="54">
        <v>0</v>
      </c>
      <c r="BE128" s="54">
        <v>0</v>
      </c>
      <c r="BF128" s="54">
        <v>0</v>
      </c>
      <c r="BG128" s="54">
        <v>0</v>
      </c>
      <c r="BH128" s="54">
        <v>0</v>
      </c>
      <c r="BI128" s="54">
        <v>0</v>
      </c>
      <c r="BJ128" s="46">
        <f t="shared" si="27"/>
        <v>0</v>
      </c>
      <c r="BK128" s="50"/>
      <c r="BL128" s="54">
        <v>0</v>
      </c>
      <c r="BM128" s="54">
        <v>0</v>
      </c>
      <c r="BN128" s="54">
        <v>0</v>
      </c>
      <c r="BO128" s="54">
        <v>0</v>
      </c>
      <c r="BP128" s="54">
        <v>0</v>
      </c>
      <c r="BQ128" s="54">
        <v>0</v>
      </c>
      <c r="BR128" s="54">
        <v>0</v>
      </c>
      <c r="BS128" s="47">
        <f t="shared" si="28"/>
        <v>0</v>
      </c>
      <c r="BT128" s="46"/>
      <c r="BU128" s="44">
        <f t="shared" si="29"/>
        <v>10</v>
      </c>
      <c r="BV128" s="44">
        <f t="shared" si="30"/>
        <v>10</v>
      </c>
      <c r="BW128" s="44">
        <f t="shared" si="31"/>
        <v>20</v>
      </c>
      <c r="BX128" s="44">
        <f t="shared" si="32"/>
        <v>0</v>
      </c>
      <c r="BY128" s="44">
        <f t="shared" si="33"/>
        <v>0</v>
      </c>
      <c r="BZ128" s="56"/>
      <c r="CA128" s="44">
        <f t="shared" si="34"/>
        <v>20</v>
      </c>
      <c r="CB128" s="56"/>
    </row>
    <row r="129" spans="1:89" s="49" customFormat="1" ht="15.75" customHeight="1" x14ac:dyDescent="0.25">
      <c r="A129" s="40" t="s">
        <v>531</v>
      </c>
      <c r="B129" s="54" t="s">
        <v>85</v>
      </c>
      <c r="C129" s="54">
        <v>-33527448</v>
      </c>
      <c r="D129" s="54">
        <v>-70624948</v>
      </c>
      <c r="E129" s="54" t="s">
        <v>601</v>
      </c>
      <c r="F129" s="54">
        <v>-33527448</v>
      </c>
      <c r="G129" s="54">
        <v>-70624948</v>
      </c>
      <c r="H129" s="54" t="s">
        <v>94</v>
      </c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46">
        <f t="shared" si="25"/>
        <v>0</v>
      </c>
      <c r="AL129" s="46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46">
        <f t="shared" si="26"/>
        <v>0</v>
      </c>
      <c r="BA129" s="46"/>
      <c r="BB129" s="54"/>
      <c r="BC129" s="54"/>
      <c r="BD129" s="54"/>
      <c r="BE129" s="54"/>
      <c r="BF129" s="54"/>
      <c r="BG129" s="54"/>
      <c r="BH129" s="54"/>
      <c r="BI129" s="54"/>
      <c r="BJ129" s="46">
        <f t="shared" si="27"/>
        <v>0</v>
      </c>
      <c r="BK129" s="50"/>
      <c r="BL129" s="54"/>
      <c r="BM129" s="54"/>
      <c r="BN129" s="54"/>
      <c r="BO129" s="54"/>
      <c r="BP129" s="54"/>
      <c r="BQ129" s="54"/>
      <c r="BR129" s="54"/>
      <c r="BS129" s="47">
        <f t="shared" si="28"/>
        <v>0</v>
      </c>
      <c r="BT129" s="46"/>
      <c r="BU129" s="44">
        <f t="shared" si="29"/>
        <v>0</v>
      </c>
      <c r="BV129" s="44">
        <f t="shared" si="30"/>
        <v>0</v>
      </c>
      <c r="BW129" s="44">
        <f t="shared" si="31"/>
        <v>0</v>
      </c>
      <c r="BX129" s="44">
        <f t="shared" si="32"/>
        <v>0</v>
      </c>
      <c r="BY129" s="44">
        <f t="shared" si="33"/>
        <v>0</v>
      </c>
      <c r="BZ129" s="56"/>
      <c r="CA129" s="44">
        <f t="shared" si="34"/>
        <v>0</v>
      </c>
      <c r="CB129" s="56"/>
      <c r="CC129" s="57"/>
      <c r="CD129" s="57"/>
      <c r="CE129" s="57"/>
      <c r="CF129" s="57"/>
      <c r="CG129" s="57"/>
      <c r="CH129" s="57"/>
      <c r="CI129" s="57"/>
      <c r="CJ129" s="57"/>
      <c r="CK129" s="57"/>
    </row>
    <row r="130" spans="1:89" s="49" customFormat="1" ht="15.75" customHeight="1" x14ac:dyDescent="0.25">
      <c r="A130" s="40" t="s">
        <v>531</v>
      </c>
      <c r="B130" s="54" t="s">
        <v>85</v>
      </c>
      <c r="C130" s="54">
        <v>-33526492</v>
      </c>
      <c r="D130" s="54">
        <v>-70623273</v>
      </c>
      <c r="E130" s="54" t="s">
        <v>602</v>
      </c>
      <c r="F130" s="54">
        <v>-33526492</v>
      </c>
      <c r="G130" s="54">
        <v>-70623273</v>
      </c>
      <c r="H130" s="54" t="s">
        <v>94</v>
      </c>
      <c r="I130" s="54">
        <v>0</v>
      </c>
      <c r="J130" s="54">
        <v>0</v>
      </c>
      <c r="K130" s="54">
        <v>0</v>
      </c>
      <c r="L130" s="54">
        <v>0</v>
      </c>
      <c r="M130" s="54">
        <v>0</v>
      </c>
      <c r="N130" s="54">
        <v>1</v>
      </c>
      <c r="O130" s="54">
        <v>1</v>
      </c>
      <c r="P130" s="54">
        <v>0</v>
      </c>
      <c r="Q130" s="54">
        <v>1</v>
      </c>
      <c r="R130" s="54">
        <v>0</v>
      </c>
      <c r="S130" s="54">
        <v>0</v>
      </c>
      <c r="T130" s="54">
        <v>0</v>
      </c>
      <c r="U130" s="54">
        <v>0</v>
      </c>
      <c r="V130" s="54">
        <v>0</v>
      </c>
      <c r="W130" s="54">
        <v>0</v>
      </c>
      <c r="X130" s="54">
        <v>1</v>
      </c>
      <c r="Y130" s="54">
        <v>0</v>
      </c>
      <c r="Z130" s="54">
        <v>1</v>
      </c>
      <c r="AA130" s="54">
        <v>0</v>
      </c>
      <c r="AB130" s="54">
        <v>1</v>
      </c>
      <c r="AC130" s="54">
        <v>1</v>
      </c>
      <c r="AD130" s="54">
        <v>1</v>
      </c>
      <c r="AE130" s="54">
        <v>0</v>
      </c>
      <c r="AF130" s="54">
        <v>1</v>
      </c>
      <c r="AG130" s="54">
        <v>1</v>
      </c>
      <c r="AH130" s="54">
        <v>0</v>
      </c>
      <c r="AI130" s="54">
        <v>0</v>
      </c>
      <c r="AJ130" s="54">
        <v>0</v>
      </c>
      <c r="AK130" s="46">
        <f t="shared" si="25"/>
        <v>10</v>
      </c>
      <c r="AL130" s="46"/>
      <c r="AM130" s="54">
        <v>1</v>
      </c>
      <c r="AN130" s="54">
        <v>0</v>
      </c>
      <c r="AO130" s="54">
        <v>1</v>
      </c>
      <c r="AP130" s="54">
        <v>1</v>
      </c>
      <c r="AQ130" s="54">
        <v>1</v>
      </c>
      <c r="AR130" s="54">
        <v>0</v>
      </c>
      <c r="AS130" s="54">
        <v>0</v>
      </c>
      <c r="AT130" s="54">
        <v>1</v>
      </c>
      <c r="AU130" s="54">
        <v>1</v>
      </c>
      <c r="AV130" s="54">
        <v>0</v>
      </c>
      <c r="AW130" s="54">
        <v>1</v>
      </c>
      <c r="AX130" s="54">
        <v>1</v>
      </c>
      <c r="AY130" s="54">
        <v>0</v>
      </c>
      <c r="AZ130" s="46">
        <f t="shared" si="26"/>
        <v>8</v>
      </c>
      <c r="BA130" s="46"/>
      <c r="BB130" s="54">
        <v>0</v>
      </c>
      <c r="BC130" s="54">
        <v>0</v>
      </c>
      <c r="BD130" s="54">
        <v>0</v>
      </c>
      <c r="BE130" s="54">
        <v>0</v>
      </c>
      <c r="BF130" s="54">
        <v>0</v>
      </c>
      <c r="BG130" s="54">
        <v>0</v>
      </c>
      <c r="BH130" s="54">
        <v>0</v>
      </c>
      <c r="BI130" s="54">
        <v>0</v>
      </c>
      <c r="BJ130" s="46">
        <f t="shared" si="27"/>
        <v>0</v>
      </c>
      <c r="BK130" s="50"/>
      <c r="BL130" s="54">
        <v>0</v>
      </c>
      <c r="BM130" s="54">
        <v>0</v>
      </c>
      <c r="BN130" s="54">
        <v>0</v>
      </c>
      <c r="BO130" s="54">
        <v>0</v>
      </c>
      <c r="BP130" s="54">
        <v>0</v>
      </c>
      <c r="BQ130" s="54">
        <v>0</v>
      </c>
      <c r="BR130" s="54">
        <v>0</v>
      </c>
      <c r="BS130" s="47">
        <f t="shared" si="28"/>
        <v>0</v>
      </c>
      <c r="BT130" s="46"/>
      <c r="BU130" s="44">
        <f t="shared" si="29"/>
        <v>10</v>
      </c>
      <c r="BV130" s="44">
        <f t="shared" si="30"/>
        <v>8</v>
      </c>
      <c r="BW130" s="44">
        <f t="shared" si="31"/>
        <v>18</v>
      </c>
      <c r="BX130" s="44">
        <f t="shared" si="32"/>
        <v>0</v>
      </c>
      <c r="BY130" s="44">
        <f t="shared" si="33"/>
        <v>0</v>
      </c>
      <c r="BZ130" s="56"/>
      <c r="CA130" s="44">
        <f t="shared" si="34"/>
        <v>18</v>
      </c>
      <c r="CB130" s="56"/>
    </row>
    <row r="131" spans="1:89" s="49" customFormat="1" ht="15.75" customHeight="1" x14ac:dyDescent="0.25">
      <c r="A131" s="40" t="s">
        <v>531</v>
      </c>
      <c r="B131" s="54" t="s">
        <v>85</v>
      </c>
      <c r="C131" s="54">
        <v>-33526525</v>
      </c>
      <c r="D131" s="54">
        <v>-70623362</v>
      </c>
      <c r="E131" s="54" t="s">
        <v>603</v>
      </c>
      <c r="F131" s="54">
        <v>-33526525</v>
      </c>
      <c r="G131" s="54">
        <v>-70623362</v>
      </c>
      <c r="H131" s="54" t="s">
        <v>94</v>
      </c>
      <c r="I131" s="54">
        <v>0</v>
      </c>
      <c r="J131" s="54">
        <v>0</v>
      </c>
      <c r="K131" s="54">
        <v>0</v>
      </c>
      <c r="L131" s="54">
        <v>0</v>
      </c>
      <c r="M131" s="54">
        <v>0</v>
      </c>
      <c r="N131" s="54">
        <v>1</v>
      </c>
      <c r="O131" s="54">
        <v>1</v>
      </c>
      <c r="P131" s="54">
        <v>0</v>
      </c>
      <c r="Q131" s="54">
        <v>1</v>
      </c>
      <c r="R131" s="54">
        <v>0</v>
      </c>
      <c r="S131" s="54">
        <v>0</v>
      </c>
      <c r="T131" s="54">
        <v>1</v>
      </c>
      <c r="U131" s="54">
        <v>1</v>
      </c>
      <c r="V131" s="54">
        <v>0</v>
      </c>
      <c r="W131" s="54">
        <v>1</v>
      </c>
      <c r="X131" s="54">
        <v>1</v>
      </c>
      <c r="Y131" s="54">
        <v>0</v>
      </c>
      <c r="Z131" s="54">
        <v>1</v>
      </c>
      <c r="AA131" s="54">
        <v>1</v>
      </c>
      <c r="AB131" s="54">
        <v>0</v>
      </c>
      <c r="AC131" s="54">
        <v>1</v>
      </c>
      <c r="AD131" s="54">
        <v>1</v>
      </c>
      <c r="AE131" s="54">
        <v>0</v>
      </c>
      <c r="AF131" s="54">
        <v>1</v>
      </c>
      <c r="AG131" s="54">
        <v>1</v>
      </c>
      <c r="AH131" s="54">
        <v>1</v>
      </c>
      <c r="AI131" s="54">
        <v>1</v>
      </c>
      <c r="AJ131" s="54">
        <v>1</v>
      </c>
      <c r="AK131" s="46">
        <f t="shared" si="25"/>
        <v>16</v>
      </c>
      <c r="AL131" s="46"/>
      <c r="AM131" s="54">
        <v>1</v>
      </c>
      <c r="AN131" s="54">
        <v>1</v>
      </c>
      <c r="AO131" s="54">
        <v>1</v>
      </c>
      <c r="AP131" s="54">
        <v>1</v>
      </c>
      <c r="AQ131" s="54">
        <v>1</v>
      </c>
      <c r="AR131" s="54">
        <v>0</v>
      </c>
      <c r="AS131" s="54">
        <v>1</v>
      </c>
      <c r="AT131" s="54">
        <v>0</v>
      </c>
      <c r="AU131" s="54">
        <v>0</v>
      </c>
      <c r="AV131" s="54">
        <v>0</v>
      </c>
      <c r="AW131" s="54">
        <v>1</v>
      </c>
      <c r="AX131" s="54">
        <v>1</v>
      </c>
      <c r="AY131" s="54">
        <v>1</v>
      </c>
      <c r="AZ131" s="46">
        <f t="shared" si="26"/>
        <v>9</v>
      </c>
      <c r="BA131" s="46"/>
      <c r="BB131" s="54">
        <v>0</v>
      </c>
      <c r="BC131" s="54">
        <v>0</v>
      </c>
      <c r="BD131" s="54">
        <v>1</v>
      </c>
      <c r="BE131" s="54">
        <v>0</v>
      </c>
      <c r="BF131" s="54">
        <v>0</v>
      </c>
      <c r="BG131" s="54">
        <v>0</v>
      </c>
      <c r="BH131" s="54">
        <v>0</v>
      </c>
      <c r="BI131" s="54">
        <v>1</v>
      </c>
      <c r="BJ131" s="46">
        <f t="shared" si="27"/>
        <v>2</v>
      </c>
      <c r="BK131" s="50"/>
      <c r="BL131" s="54">
        <v>0</v>
      </c>
      <c r="BM131" s="54">
        <v>0</v>
      </c>
      <c r="BN131" s="54">
        <v>0</v>
      </c>
      <c r="BO131" s="54">
        <v>1</v>
      </c>
      <c r="BP131" s="54">
        <v>0</v>
      </c>
      <c r="BQ131" s="54">
        <v>0</v>
      </c>
      <c r="BR131" s="54">
        <v>0</v>
      </c>
      <c r="BS131" s="47">
        <f t="shared" si="28"/>
        <v>1</v>
      </c>
      <c r="BT131" s="46"/>
      <c r="BU131" s="44">
        <f t="shared" si="29"/>
        <v>16</v>
      </c>
      <c r="BV131" s="44">
        <f t="shared" si="30"/>
        <v>9</v>
      </c>
      <c r="BW131" s="44">
        <f t="shared" si="31"/>
        <v>25</v>
      </c>
      <c r="BX131" s="44">
        <f t="shared" si="32"/>
        <v>2</v>
      </c>
      <c r="BY131" s="44">
        <f t="shared" si="33"/>
        <v>1</v>
      </c>
      <c r="BZ131" s="56"/>
      <c r="CA131" s="44">
        <f t="shared" si="34"/>
        <v>28</v>
      </c>
      <c r="CB131" s="56"/>
      <c r="CC131" s="57"/>
      <c r="CD131" s="57"/>
      <c r="CE131" s="57"/>
      <c r="CF131" s="57"/>
      <c r="CG131" s="57"/>
      <c r="CH131" s="57"/>
      <c r="CI131" s="57"/>
      <c r="CJ131" s="57"/>
      <c r="CK131" s="57"/>
    </row>
    <row r="132" spans="1:89" s="49" customFormat="1" ht="15.75" customHeight="1" x14ac:dyDescent="0.25">
      <c r="A132" s="40" t="s">
        <v>531</v>
      </c>
      <c r="B132" s="54" t="s">
        <v>85</v>
      </c>
      <c r="C132" s="54">
        <v>-33526553</v>
      </c>
      <c r="D132" s="54">
        <v>-7062194</v>
      </c>
      <c r="E132" s="54" t="s">
        <v>604</v>
      </c>
      <c r="F132" s="54">
        <v>-33526553</v>
      </c>
      <c r="G132" s="54">
        <v>-7062194</v>
      </c>
      <c r="H132" s="54" t="s">
        <v>94</v>
      </c>
      <c r="I132" s="54">
        <v>1</v>
      </c>
      <c r="J132" s="54">
        <v>0</v>
      </c>
      <c r="K132" s="54">
        <v>0</v>
      </c>
      <c r="L132" s="54">
        <v>0</v>
      </c>
      <c r="M132" s="54">
        <v>0</v>
      </c>
      <c r="N132" s="54">
        <v>1</v>
      </c>
      <c r="O132" s="54">
        <v>1</v>
      </c>
      <c r="P132" s="54">
        <v>0</v>
      </c>
      <c r="Q132" s="54">
        <v>1</v>
      </c>
      <c r="R132" s="54">
        <v>0</v>
      </c>
      <c r="S132" s="54">
        <v>0</v>
      </c>
      <c r="T132" s="54">
        <v>1</v>
      </c>
      <c r="U132" s="54">
        <v>0</v>
      </c>
      <c r="V132" s="54">
        <v>0</v>
      </c>
      <c r="W132" s="54">
        <v>0</v>
      </c>
      <c r="X132" s="54">
        <v>1</v>
      </c>
      <c r="Y132" s="54">
        <v>0</v>
      </c>
      <c r="Z132" s="54">
        <v>1</v>
      </c>
      <c r="AA132" s="54">
        <v>0</v>
      </c>
      <c r="AB132" s="54">
        <v>0</v>
      </c>
      <c r="AC132" s="54">
        <v>1</v>
      </c>
      <c r="AD132" s="54">
        <v>1</v>
      </c>
      <c r="AE132" s="54">
        <v>0</v>
      </c>
      <c r="AF132" s="54">
        <v>1</v>
      </c>
      <c r="AG132" s="54">
        <v>1</v>
      </c>
      <c r="AH132" s="54">
        <v>1</v>
      </c>
      <c r="AI132" s="54">
        <v>1</v>
      </c>
      <c r="AJ132" s="54">
        <v>1</v>
      </c>
      <c r="AK132" s="46">
        <f t="shared" si="25"/>
        <v>14</v>
      </c>
      <c r="AL132" s="46"/>
      <c r="AM132" s="54">
        <v>1</v>
      </c>
      <c r="AN132" s="54">
        <v>1</v>
      </c>
      <c r="AO132" s="54">
        <v>1</v>
      </c>
      <c r="AP132" s="54">
        <v>1</v>
      </c>
      <c r="AQ132" s="54">
        <v>1</v>
      </c>
      <c r="AR132" s="54">
        <v>0</v>
      </c>
      <c r="AS132" s="54">
        <v>0</v>
      </c>
      <c r="AT132" s="54">
        <v>0</v>
      </c>
      <c r="AU132" s="54">
        <v>0</v>
      </c>
      <c r="AV132" s="54">
        <v>0</v>
      </c>
      <c r="AW132" s="54">
        <v>1</v>
      </c>
      <c r="AX132" s="54">
        <v>1</v>
      </c>
      <c r="AY132" s="54">
        <v>1</v>
      </c>
      <c r="AZ132" s="46">
        <f t="shared" si="26"/>
        <v>8</v>
      </c>
      <c r="BA132" s="46"/>
      <c r="BB132" s="54">
        <v>0</v>
      </c>
      <c r="BC132" s="54">
        <v>0</v>
      </c>
      <c r="BD132" s="54">
        <v>0</v>
      </c>
      <c r="BE132" s="54">
        <v>0</v>
      </c>
      <c r="BF132" s="54">
        <v>0</v>
      </c>
      <c r="BG132" s="54">
        <v>0</v>
      </c>
      <c r="BH132" s="54">
        <v>0</v>
      </c>
      <c r="BI132" s="54">
        <v>0</v>
      </c>
      <c r="BJ132" s="46">
        <f t="shared" si="27"/>
        <v>0</v>
      </c>
      <c r="BK132" s="50"/>
      <c r="BL132" s="54"/>
      <c r="BM132" s="54"/>
      <c r="BN132" s="54"/>
      <c r="BO132" s="54"/>
      <c r="BP132" s="54"/>
      <c r="BQ132" s="54"/>
      <c r="BR132" s="54"/>
      <c r="BS132" s="47">
        <f t="shared" si="28"/>
        <v>0</v>
      </c>
      <c r="BT132" s="46"/>
      <c r="BU132" s="44">
        <f t="shared" si="29"/>
        <v>14</v>
      </c>
      <c r="BV132" s="44">
        <f t="shared" si="30"/>
        <v>8</v>
      </c>
      <c r="BW132" s="44">
        <f t="shared" si="31"/>
        <v>22</v>
      </c>
      <c r="BX132" s="44">
        <f t="shared" si="32"/>
        <v>0</v>
      </c>
      <c r="BY132" s="44">
        <f t="shared" si="33"/>
        <v>0</v>
      </c>
      <c r="BZ132" s="56"/>
      <c r="CA132" s="44">
        <f t="shared" si="34"/>
        <v>22</v>
      </c>
      <c r="CB132" s="56"/>
    </row>
    <row r="133" spans="1:89" s="49" customFormat="1" ht="15.75" customHeight="1" x14ac:dyDescent="0.25">
      <c r="A133" s="40" t="s">
        <v>531</v>
      </c>
      <c r="B133" s="54" t="s">
        <v>85</v>
      </c>
      <c r="C133" s="54">
        <v>-33526335</v>
      </c>
      <c r="D133" s="54">
        <v>-70619657</v>
      </c>
      <c r="E133" s="54" t="s">
        <v>605</v>
      </c>
      <c r="F133" s="54">
        <v>-33526335</v>
      </c>
      <c r="G133" s="54">
        <v>-70619657</v>
      </c>
      <c r="H133" s="54" t="s">
        <v>94</v>
      </c>
      <c r="I133" s="54">
        <v>1</v>
      </c>
      <c r="J133" s="54">
        <v>0</v>
      </c>
      <c r="K133" s="54">
        <v>0</v>
      </c>
      <c r="L133" s="54">
        <v>1</v>
      </c>
      <c r="M133" s="54">
        <v>1</v>
      </c>
      <c r="N133" s="54">
        <v>1</v>
      </c>
      <c r="O133" s="54">
        <v>1</v>
      </c>
      <c r="P133" s="54">
        <v>0</v>
      </c>
      <c r="Q133" s="54">
        <v>1</v>
      </c>
      <c r="R133" s="54">
        <v>1</v>
      </c>
      <c r="S133" s="54">
        <v>0</v>
      </c>
      <c r="T133" s="54">
        <v>1</v>
      </c>
      <c r="U133" s="54">
        <v>1</v>
      </c>
      <c r="V133" s="54">
        <v>0</v>
      </c>
      <c r="W133" s="54">
        <v>1</v>
      </c>
      <c r="X133" s="54">
        <v>1</v>
      </c>
      <c r="Y133" s="54">
        <v>1</v>
      </c>
      <c r="Z133" s="54">
        <v>1</v>
      </c>
      <c r="AA133" s="54">
        <v>1</v>
      </c>
      <c r="AB133" s="54">
        <v>0</v>
      </c>
      <c r="AC133" s="54">
        <v>1</v>
      </c>
      <c r="AD133" s="54">
        <v>1</v>
      </c>
      <c r="AE133" s="54">
        <v>0</v>
      </c>
      <c r="AF133" s="54">
        <v>1</v>
      </c>
      <c r="AG133" s="54">
        <v>1</v>
      </c>
      <c r="AH133" s="54">
        <v>1</v>
      </c>
      <c r="AI133" s="54">
        <v>1</v>
      </c>
      <c r="AJ133" s="54">
        <v>1</v>
      </c>
      <c r="AK133" s="46">
        <f t="shared" si="25"/>
        <v>21</v>
      </c>
      <c r="AL133" s="46"/>
      <c r="AM133" s="54">
        <v>1</v>
      </c>
      <c r="AN133" s="54">
        <v>1</v>
      </c>
      <c r="AO133" s="54">
        <v>1</v>
      </c>
      <c r="AP133" s="54">
        <v>1</v>
      </c>
      <c r="AQ133" s="54">
        <v>1</v>
      </c>
      <c r="AR133" s="54">
        <v>1</v>
      </c>
      <c r="AS133" s="54">
        <v>0</v>
      </c>
      <c r="AT133" s="54">
        <v>0</v>
      </c>
      <c r="AU133" s="54">
        <v>0</v>
      </c>
      <c r="AV133" s="54">
        <v>0</v>
      </c>
      <c r="AW133" s="54">
        <v>1</v>
      </c>
      <c r="AX133" s="54">
        <v>1</v>
      </c>
      <c r="AY133" s="54">
        <v>1</v>
      </c>
      <c r="AZ133" s="46">
        <f t="shared" si="26"/>
        <v>9</v>
      </c>
      <c r="BA133" s="46"/>
      <c r="BB133" s="54">
        <v>0</v>
      </c>
      <c r="BC133" s="54">
        <v>1</v>
      </c>
      <c r="BD133" s="54">
        <v>1</v>
      </c>
      <c r="BE133" s="54">
        <v>0</v>
      </c>
      <c r="BF133" s="54">
        <v>1</v>
      </c>
      <c r="BG133" s="54">
        <v>0</v>
      </c>
      <c r="BH133" s="54">
        <v>0</v>
      </c>
      <c r="BI133" s="54">
        <v>1</v>
      </c>
      <c r="BJ133" s="46">
        <f t="shared" si="27"/>
        <v>4</v>
      </c>
      <c r="BK133" s="50"/>
      <c r="BL133" s="54">
        <v>0</v>
      </c>
      <c r="BM133" s="54">
        <v>0</v>
      </c>
      <c r="BN133" s="54">
        <v>0</v>
      </c>
      <c r="BO133" s="54">
        <v>0</v>
      </c>
      <c r="BP133" s="54">
        <v>0</v>
      </c>
      <c r="BQ133" s="54">
        <v>0</v>
      </c>
      <c r="BR133" s="54">
        <v>0</v>
      </c>
      <c r="BS133" s="47">
        <f t="shared" si="28"/>
        <v>0</v>
      </c>
      <c r="BT133" s="46"/>
      <c r="BU133" s="44">
        <f t="shared" si="29"/>
        <v>21</v>
      </c>
      <c r="BV133" s="44">
        <f t="shared" si="30"/>
        <v>9</v>
      </c>
      <c r="BW133" s="44">
        <f t="shared" si="31"/>
        <v>30</v>
      </c>
      <c r="BX133" s="44">
        <f t="shared" si="32"/>
        <v>4</v>
      </c>
      <c r="BY133" s="44">
        <f t="shared" si="33"/>
        <v>0</v>
      </c>
      <c r="BZ133" s="56"/>
      <c r="CA133" s="44">
        <f t="shared" si="34"/>
        <v>34</v>
      </c>
      <c r="CB133" s="56"/>
    </row>
    <row r="134" spans="1:89" s="49" customFormat="1" ht="15.75" customHeight="1" x14ac:dyDescent="0.25">
      <c r="A134" s="40" t="s">
        <v>531</v>
      </c>
      <c r="B134" s="54" t="s">
        <v>85</v>
      </c>
      <c r="C134" s="54">
        <v>-33526949</v>
      </c>
      <c r="D134" s="54">
        <v>-70619418</v>
      </c>
      <c r="E134" s="54" t="s">
        <v>606</v>
      </c>
      <c r="F134" s="54">
        <v>-33526949</v>
      </c>
      <c r="G134" s="54">
        <v>-70619418</v>
      </c>
      <c r="H134" s="54" t="s">
        <v>94</v>
      </c>
      <c r="I134" s="54">
        <v>0</v>
      </c>
      <c r="J134" s="54">
        <v>0</v>
      </c>
      <c r="K134" s="54">
        <v>0</v>
      </c>
      <c r="L134" s="54">
        <v>1</v>
      </c>
      <c r="M134" s="54">
        <v>0</v>
      </c>
      <c r="N134" s="54">
        <v>1</v>
      </c>
      <c r="O134" s="54">
        <v>1</v>
      </c>
      <c r="P134" s="54">
        <v>0</v>
      </c>
      <c r="Q134" s="54">
        <v>1</v>
      </c>
      <c r="R134" s="54">
        <v>1</v>
      </c>
      <c r="S134" s="54">
        <v>0</v>
      </c>
      <c r="T134" s="54">
        <v>1</v>
      </c>
      <c r="U134" s="54">
        <v>0</v>
      </c>
      <c r="V134" s="54">
        <v>0</v>
      </c>
      <c r="W134" s="54">
        <v>1</v>
      </c>
      <c r="X134" s="54">
        <v>1</v>
      </c>
      <c r="Y134" s="54">
        <v>1</v>
      </c>
      <c r="Z134" s="54">
        <v>0</v>
      </c>
      <c r="AA134" s="54">
        <v>1</v>
      </c>
      <c r="AB134" s="54">
        <v>0</v>
      </c>
      <c r="AC134" s="54">
        <v>1</v>
      </c>
      <c r="AD134" s="54">
        <v>1</v>
      </c>
      <c r="AE134" s="54">
        <v>0</v>
      </c>
      <c r="AF134" s="54">
        <v>1</v>
      </c>
      <c r="AG134" s="54">
        <v>1</v>
      </c>
      <c r="AH134" s="54">
        <v>1</v>
      </c>
      <c r="AI134" s="54">
        <v>1</v>
      </c>
      <c r="AJ134" s="54">
        <v>1</v>
      </c>
      <c r="AK134" s="46">
        <f t="shared" si="25"/>
        <v>17</v>
      </c>
      <c r="AL134" s="46"/>
      <c r="AM134" s="54">
        <v>1</v>
      </c>
      <c r="AN134" s="54">
        <v>1</v>
      </c>
      <c r="AO134" s="54">
        <v>1</v>
      </c>
      <c r="AP134" s="54">
        <v>1</v>
      </c>
      <c r="AQ134" s="54">
        <v>1</v>
      </c>
      <c r="AR134" s="54">
        <v>0</v>
      </c>
      <c r="AS134" s="54">
        <v>1</v>
      </c>
      <c r="AT134" s="54">
        <v>0</v>
      </c>
      <c r="AU134" s="54">
        <v>0</v>
      </c>
      <c r="AV134" s="54">
        <v>0</v>
      </c>
      <c r="AW134" s="54">
        <v>1</v>
      </c>
      <c r="AX134" s="54">
        <v>1</v>
      </c>
      <c r="AY134" s="54">
        <v>1</v>
      </c>
      <c r="AZ134" s="46">
        <f t="shared" si="26"/>
        <v>9</v>
      </c>
      <c r="BA134" s="46"/>
      <c r="BB134" s="54">
        <v>0</v>
      </c>
      <c r="BC134" s="54">
        <v>0</v>
      </c>
      <c r="BD134" s="54">
        <v>1</v>
      </c>
      <c r="BE134" s="54">
        <v>0</v>
      </c>
      <c r="BF134" s="54">
        <v>1</v>
      </c>
      <c r="BG134" s="54">
        <v>0</v>
      </c>
      <c r="BH134" s="54">
        <v>0</v>
      </c>
      <c r="BI134" s="54">
        <v>1</v>
      </c>
      <c r="BJ134" s="46">
        <f t="shared" si="27"/>
        <v>3</v>
      </c>
      <c r="BK134" s="50"/>
      <c r="BL134" s="54">
        <v>0</v>
      </c>
      <c r="BM134" s="54">
        <v>0</v>
      </c>
      <c r="BN134" s="54">
        <v>0</v>
      </c>
      <c r="BO134" s="54">
        <v>0</v>
      </c>
      <c r="BP134" s="54">
        <v>0</v>
      </c>
      <c r="BQ134" s="54">
        <v>0</v>
      </c>
      <c r="BR134" s="54">
        <v>0</v>
      </c>
      <c r="BS134" s="47">
        <f t="shared" si="28"/>
        <v>0</v>
      </c>
      <c r="BT134" s="46"/>
      <c r="BU134" s="44">
        <f t="shared" si="29"/>
        <v>17</v>
      </c>
      <c r="BV134" s="44">
        <f t="shared" si="30"/>
        <v>9</v>
      </c>
      <c r="BW134" s="44">
        <f t="shared" si="31"/>
        <v>26</v>
      </c>
      <c r="BX134" s="44">
        <f t="shared" si="32"/>
        <v>3</v>
      </c>
      <c r="BY134" s="44">
        <f t="shared" si="33"/>
        <v>0</v>
      </c>
      <c r="BZ134" s="56"/>
      <c r="CA134" s="44">
        <f t="shared" si="34"/>
        <v>29</v>
      </c>
      <c r="CB134" s="56"/>
    </row>
    <row r="135" spans="1:89" s="49" customFormat="1" ht="15" customHeight="1" x14ac:dyDescent="0.25">
      <c r="A135" s="40" t="s">
        <v>531</v>
      </c>
      <c r="B135" s="54" t="s">
        <v>85</v>
      </c>
      <c r="C135" s="54">
        <v>-33526809</v>
      </c>
      <c r="D135" s="54">
        <v>-70618245</v>
      </c>
      <c r="E135" s="54" t="s">
        <v>607</v>
      </c>
      <c r="F135" s="54">
        <v>-33526809</v>
      </c>
      <c r="G135" s="54">
        <v>-70618245</v>
      </c>
      <c r="H135" s="54" t="s">
        <v>96</v>
      </c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46">
        <f t="shared" si="25"/>
        <v>0</v>
      </c>
      <c r="AL135" s="46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46">
        <f t="shared" si="26"/>
        <v>0</v>
      </c>
      <c r="BA135" s="46"/>
      <c r="BB135" s="54"/>
      <c r="BC135" s="54"/>
      <c r="BD135" s="54"/>
      <c r="BE135" s="54"/>
      <c r="BF135" s="54"/>
      <c r="BG135" s="54"/>
      <c r="BH135" s="54"/>
      <c r="BI135" s="54"/>
      <c r="BJ135" s="46">
        <f t="shared" si="27"/>
        <v>0</v>
      </c>
      <c r="BK135" s="50"/>
      <c r="BL135" s="54"/>
      <c r="BM135" s="54"/>
      <c r="BN135" s="54"/>
      <c r="BO135" s="54"/>
      <c r="BP135" s="54"/>
      <c r="BQ135" s="54"/>
      <c r="BR135" s="54"/>
      <c r="BS135" s="47">
        <f t="shared" si="28"/>
        <v>0</v>
      </c>
      <c r="BT135" s="46"/>
      <c r="BU135" s="44">
        <f t="shared" si="29"/>
        <v>0</v>
      </c>
      <c r="BV135" s="44">
        <f t="shared" si="30"/>
        <v>0</v>
      </c>
      <c r="BW135" s="44">
        <f t="shared" si="31"/>
        <v>0</v>
      </c>
      <c r="BX135" s="44">
        <f t="shared" si="32"/>
        <v>0</v>
      </c>
      <c r="BY135" s="44">
        <f t="shared" si="33"/>
        <v>0</v>
      </c>
      <c r="BZ135" s="56"/>
      <c r="CA135" s="44">
        <f t="shared" si="34"/>
        <v>0</v>
      </c>
      <c r="CB135" s="56"/>
    </row>
    <row r="136" spans="1:89" s="49" customFormat="1" ht="15.75" customHeight="1" x14ac:dyDescent="0.25">
      <c r="A136" s="40" t="s">
        <v>531</v>
      </c>
      <c r="B136" s="54" t="s">
        <v>85</v>
      </c>
      <c r="C136" s="54">
        <v>-33526166</v>
      </c>
      <c r="D136" s="54">
        <v>-70617158</v>
      </c>
      <c r="E136" s="54" t="s">
        <v>608</v>
      </c>
      <c r="F136" s="54">
        <v>-33526166</v>
      </c>
      <c r="G136" s="54">
        <v>-70617158</v>
      </c>
      <c r="H136" s="54" t="s">
        <v>609</v>
      </c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46">
        <f t="shared" si="25"/>
        <v>0</v>
      </c>
      <c r="AL136" s="46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46">
        <f t="shared" si="26"/>
        <v>0</v>
      </c>
      <c r="BA136" s="46"/>
      <c r="BB136" s="54"/>
      <c r="BC136" s="54"/>
      <c r="BD136" s="54"/>
      <c r="BE136" s="54"/>
      <c r="BF136" s="54"/>
      <c r="BG136" s="54"/>
      <c r="BH136" s="54"/>
      <c r="BI136" s="54"/>
      <c r="BJ136" s="46">
        <f t="shared" si="27"/>
        <v>0</v>
      </c>
      <c r="BK136" s="50"/>
      <c r="BL136" s="54"/>
      <c r="BM136" s="54"/>
      <c r="BN136" s="54"/>
      <c r="BO136" s="54"/>
      <c r="BP136" s="54"/>
      <c r="BQ136" s="54"/>
      <c r="BR136" s="54"/>
      <c r="BS136" s="47">
        <f t="shared" si="28"/>
        <v>0</v>
      </c>
      <c r="BT136" s="46"/>
      <c r="BU136" s="44">
        <f t="shared" si="29"/>
        <v>0</v>
      </c>
      <c r="BV136" s="44">
        <f t="shared" si="30"/>
        <v>0</v>
      </c>
      <c r="BW136" s="44">
        <f t="shared" si="31"/>
        <v>0</v>
      </c>
      <c r="BX136" s="44">
        <f t="shared" si="32"/>
        <v>0</v>
      </c>
      <c r="BY136" s="44">
        <f t="shared" si="33"/>
        <v>0</v>
      </c>
      <c r="BZ136" s="56"/>
      <c r="CA136" s="44">
        <f t="shared" si="34"/>
        <v>0</v>
      </c>
      <c r="CB136" s="56"/>
      <c r="CC136" s="57"/>
      <c r="CD136" s="57"/>
      <c r="CE136" s="57"/>
      <c r="CF136" s="57"/>
      <c r="CG136" s="57"/>
      <c r="CH136" s="57"/>
      <c r="CI136" s="57"/>
      <c r="CJ136" s="57"/>
      <c r="CK136" s="57"/>
    </row>
    <row r="137" spans="1:89" s="49" customFormat="1" ht="15.75" customHeight="1" x14ac:dyDescent="0.25">
      <c r="A137" s="40" t="s">
        <v>531</v>
      </c>
      <c r="B137" s="46" t="s">
        <v>84</v>
      </c>
      <c r="C137" s="53">
        <v>-33530047</v>
      </c>
      <c r="D137" s="53">
        <v>-70627463</v>
      </c>
      <c r="E137" s="46" t="s">
        <v>610</v>
      </c>
      <c r="F137" s="54">
        <v>-33530047</v>
      </c>
      <c r="G137" s="54">
        <v>-70627465</v>
      </c>
      <c r="H137" s="54" t="s">
        <v>94</v>
      </c>
      <c r="I137" s="54">
        <v>0</v>
      </c>
      <c r="J137" s="54">
        <v>0</v>
      </c>
      <c r="K137" s="54">
        <v>0</v>
      </c>
      <c r="L137" s="54">
        <v>0</v>
      </c>
      <c r="M137" s="54">
        <v>1</v>
      </c>
      <c r="N137" s="54">
        <v>1</v>
      </c>
      <c r="O137" s="54">
        <v>1</v>
      </c>
      <c r="P137" s="54">
        <v>0</v>
      </c>
      <c r="Q137" s="54">
        <v>1</v>
      </c>
      <c r="R137" s="54">
        <v>1</v>
      </c>
      <c r="S137" s="54">
        <v>0</v>
      </c>
      <c r="T137" s="54">
        <v>1</v>
      </c>
      <c r="U137" s="54">
        <v>1</v>
      </c>
      <c r="V137" s="54">
        <v>0</v>
      </c>
      <c r="W137" s="54">
        <v>1</v>
      </c>
      <c r="X137" s="54">
        <v>1</v>
      </c>
      <c r="Y137" s="54">
        <v>0</v>
      </c>
      <c r="Z137" s="54">
        <v>1</v>
      </c>
      <c r="AA137" s="54">
        <v>1</v>
      </c>
      <c r="AB137" s="54">
        <v>0</v>
      </c>
      <c r="AC137" s="54">
        <v>1</v>
      </c>
      <c r="AD137" s="54">
        <v>1</v>
      </c>
      <c r="AE137" s="54">
        <v>0</v>
      </c>
      <c r="AF137" s="54">
        <v>1</v>
      </c>
      <c r="AG137" s="54">
        <v>1</v>
      </c>
      <c r="AH137" s="54">
        <v>1</v>
      </c>
      <c r="AI137" s="54">
        <v>1</v>
      </c>
      <c r="AJ137" s="54">
        <v>1</v>
      </c>
      <c r="AK137" s="46">
        <f t="shared" ref="AK137:AK200" si="35">SUM(I137:AJ137)</f>
        <v>18</v>
      </c>
      <c r="AL137" s="55"/>
      <c r="AM137" s="41">
        <v>1</v>
      </c>
      <c r="AN137" s="41">
        <v>1</v>
      </c>
      <c r="AO137" s="54">
        <v>1</v>
      </c>
      <c r="AP137" s="54">
        <v>1</v>
      </c>
      <c r="AQ137" s="54">
        <v>1</v>
      </c>
      <c r="AR137" s="54">
        <v>0</v>
      </c>
      <c r="AS137" s="54">
        <v>0</v>
      </c>
      <c r="AT137" s="54">
        <v>0</v>
      </c>
      <c r="AU137" s="54">
        <v>1</v>
      </c>
      <c r="AV137" s="54">
        <v>1</v>
      </c>
      <c r="AW137" s="54">
        <v>1</v>
      </c>
      <c r="AX137" s="54">
        <v>0</v>
      </c>
      <c r="AY137" s="54">
        <v>0</v>
      </c>
      <c r="AZ137" s="46">
        <f t="shared" ref="AZ137:AZ200" si="36">SUM(AM137:AY137)</f>
        <v>8</v>
      </c>
      <c r="BA137" s="46"/>
      <c r="BB137" s="54">
        <v>0</v>
      </c>
      <c r="BC137" s="54">
        <v>1</v>
      </c>
      <c r="BD137" s="54">
        <v>0</v>
      </c>
      <c r="BE137" s="54">
        <v>0</v>
      </c>
      <c r="BF137" s="54">
        <v>0</v>
      </c>
      <c r="BG137" s="54">
        <v>0</v>
      </c>
      <c r="BH137" s="54">
        <v>0</v>
      </c>
      <c r="BI137" s="54">
        <v>0</v>
      </c>
      <c r="BJ137" s="46">
        <f t="shared" ref="BJ137:BJ200" si="37">SUM(BB137:BI137)</f>
        <v>1</v>
      </c>
      <c r="BK137" s="50"/>
      <c r="BL137" s="54">
        <v>0</v>
      </c>
      <c r="BM137" s="54">
        <v>0</v>
      </c>
      <c r="BN137" s="54">
        <v>0</v>
      </c>
      <c r="BO137" s="54">
        <v>0</v>
      </c>
      <c r="BP137" s="54">
        <v>0</v>
      </c>
      <c r="BQ137" s="54">
        <v>0</v>
      </c>
      <c r="BR137" s="54">
        <v>0</v>
      </c>
      <c r="BS137" s="47">
        <f t="shared" ref="BS137:BS200" si="38">SUM(BL137:BR137)</f>
        <v>0</v>
      </c>
      <c r="BT137" s="46"/>
      <c r="BU137" s="44">
        <f t="shared" ref="BU137:BU200" si="39">AK137</f>
        <v>18</v>
      </c>
      <c r="BV137" s="44">
        <f t="shared" ref="BV137:BV200" si="40">AZ137</f>
        <v>8</v>
      </c>
      <c r="BW137" s="44">
        <f t="shared" ref="BW137:BW200" si="41">BU137+BV137</f>
        <v>26</v>
      </c>
      <c r="BX137" s="44">
        <f t="shared" ref="BX137:BX200" si="42">BJ137</f>
        <v>1</v>
      </c>
      <c r="BY137" s="44">
        <f t="shared" ref="BY137:BY200" si="43">BS137</f>
        <v>0</v>
      </c>
      <c r="BZ137" s="56"/>
      <c r="CA137" s="44">
        <f t="shared" ref="CA137:CA200" si="44">BW137+BX137+BY137</f>
        <v>27</v>
      </c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</row>
    <row r="138" spans="1:89" s="49" customFormat="1" ht="15.75" customHeight="1" x14ac:dyDescent="0.25">
      <c r="A138" s="40" t="s">
        <v>531</v>
      </c>
      <c r="B138" s="46" t="s">
        <v>84</v>
      </c>
      <c r="C138" s="53">
        <v>-33530047</v>
      </c>
      <c r="D138" s="53">
        <v>-70627463</v>
      </c>
      <c r="E138" s="46" t="s">
        <v>611</v>
      </c>
      <c r="F138" s="53">
        <v>-33530047</v>
      </c>
      <c r="G138" s="53">
        <v>-70627463</v>
      </c>
      <c r="H138" s="54" t="s">
        <v>96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46">
        <f t="shared" si="35"/>
        <v>0</v>
      </c>
      <c r="AL138" s="46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46">
        <f t="shared" si="36"/>
        <v>0</v>
      </c>
      <c r="BA138" s="46"/>
      <c r="BB138" s="54"/>
      <c r="BC138" s="54"/>
      <c r="BD138" s="54"/>
      <c r="BE138" s="54"/>
      <c r="BF138" s="54"/>
      <c r="BG138" s="54"/>
      <c r="BH138" s="54"/>
      <c r="BI138" s="54"/>
      <c r="BJ138" s="46">
        <f t="shared" si="37"/>
        <v>0</v>
      </c>
      <c r="BK138" s="50"/>
      <c r="BL138" s="54"/>
      <c r="BM138" s="54"/>
      <c r="BN138" s="54"/>
      <c r="BO138" s="54"/>
      <c r="BP138" s="54"/>
      <c r="BQ138" s="54"/>
      <c r="BR138" s="54"/>
      <c r="BS138" s="47">
        <f t="shared" si="38"/>
        <v>0</v>
      </c>
      <c r="BT138" s="46"/>
      <c r="BU138" s="44">
        <f t="shared" si="39"/>
        <v>0</v>
      </c>
      <c r="BV138" s="44">
        <f t="shared" si="40"/>
        <v>0</v>
      </c>
      <c r="BW138" s="44">
        <f t="shared" si="41"/>
        <v>0</v>
      </c>
      <c r="BX138" s="44">
        <f t="shared" si="42"/>
        <v>0</v>
      </c>
      <c r="BY138" s="44">
        <f t="shared" si="43"/>
        <v>0</v>
      </c>
      <c r="BZ138" s="56"/>
      <c r="CA138" s="44">
        <f t="shared" si="44"/>
        <v>0</v>
      </c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</row>
    <row r="139" spans="1:89" s="49" customFormat="1" ht="15.75" customHeight="1" x14ac:dyDescent="0.25">
      <c r="A139" s="40" t="s">
        <v>531</v>
      </c>
      <c r="B139" s="46" t="s">
        <v>475</v>
      </c>
      <c r="C139" s="53">
        <v>-33529616</v>
      </c>
      <c r="D139" s="53">
        <v>-70627988</v>
      </c>
      <c r="E139" s="46" t="s">
        <v>612</v>
      </c>
      <c r="F139" s="53">
        <v>-33529616</v>
      </c>
      <c r="G139" s="53">
        <v>-70627988</v>
      </c>
      <c r="H139" s="54" t="s">
        <v>94</v>
      </c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46">
        <f t="shared" si="35"/>
        <v>0</v>
      </c>
      <c r="AL139" s="46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46">
        <f t="shared" si="36"/>
        <v>0</v>
      </c>
      <c r="BA139" s="46"/>
      <c r="BB139" s="54"/>
      <c r="BC139" s="54"/>
      <c r="BD139" s="54"/>
      <c r="BE139" s="54"/>
      <c r="BF139" s="54"/>
      <c r="BG139" s="54"/>
      <c r="BH139" s="54"/>
      <c r="BI139" s="54"/>
      <c r="BJ139" s="46">
        <f t="shared" si="37"/>
        <v>0</v>
      </c>
      <c r="BK139" s="50"/>
      <c r="BL139" s="54"/>
      <c r="BM139" s="54"/>
      <c r="BN139" s="54"/>
      <c r="BO139" s="54"/>
      <c r="BP139" s="54"/>
      <c r="BQ139" s="54"/>
      <c r="BR139" s="54"/>
      <c r="BS139" s="47">
        <f t="shared" si="38"/>
        <v>0</v>
      </c>
      <c r="BT139" s="46"/>
      <c r="BU139" s="44">
        <f t="shared" si="39"/>
        <v>0</v>
      </c>
      <c r="BV139" s="44">
        <f t="shared" si="40"/>
        <v>0</v>
      </c>
      <c r="BW139" s="44">
        <f t="shared" si="41"/>
        <v>0</v>
      </c>
      <c r="BX139" s="44">
        <f t="shared" si="42"/>
        <v>0</v>
      </c>
      <c r="BY139" s="44">
        <f t="shared" si="43"/>
        <v>0</v>
      </c>
      <c r="BZ139" s="56"/>
      <c r="CA139" s="44">
        <f t="shared" si="44"/>
        <v>0</v>
      </c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</row>
    <row r="140" spans="1:89" s="49" customFormat="1" ht="15.75" customHeight="1" x14ac:dyDescent="0.25">
      <c r="A140" s="40" t="s">
        <v>531</v>
      </c>
      <c r="B140" s="54" t="s">
        <v>84</v>
      </c>
      <c r="C140" s="54">
        <v>-3353233</v>
      </c>
      <c r="D140" s="54">
        <v>-70627403</v>
      </c>
      <c r="E140" s="54" t="s">
        <v>570</v>
      </c>
      <c r="F140" s="54">
        <v>-3353233</v>
      </c>
      <c r="G140" s="54">
        <v>-70627403</v>
      </c>
      <c r="H140" s="54" t="s">
        <v>94</v>
      </c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46">
        <f t="shared" si="35"/>
        <v>0</v>
      </c>
      <c r="AL140" s="46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46">
        <f t="shared" si="36"/>
        <v>0</v>
      </c>
      <c r="BA140" s="46"/>
      <c r="BB140" s="54"/>
      <c r="BC140" s="54"/>
      <c r="BD140" s="54"/>
      <c r="BE140" s="54"/>
      <c r="BF140" s="54"/>
      <c r="BG140" s="54"/>
      <c r="BH140" s="54"/>
      <c r="BI140" s="54"/>
      <c r="BJ140" s="46">
        <f t="shared" si="37"/>
        <v>0</v>
      </c>
      <c r="BK140" s="50"/>
      <c r="BL140" s="54"/>
      <c r="BM140" s="54"/>
      <c r="BN140" s="54"/>
      <c r="BO140" s="54"/>
      <c r="BP140" s="54"/>
      <c r="BQ140" s="54"/>
      <c r="BR140" s="54"/>
      <c r="BS140" s="47">
        <f t="shared" si="38"/>
        <v>0</v>
      </c>
      <c r="BT140" s="46"/>
      <c r="BU140" s="44">
        <f t="shared" si="39"/>
        <v>0</v>
      </c>
      <c r="BV140" s="44">
        <f t="shared" si="40"/>
        <v>0</v>
      </c>
      <c r="BW140" s="44">
        <f t="shared" si="41"/>
        <v>0</v>
      </c>
      <c r="BX140" s="44">
        <f t="shared" si="42"/>
        <v>0</v>
      </c>
      <c r="BY140" s="44">
        <f t="shared" si="43"/>
        <v>0</v>
      </c>
      <c r="BZ140" s="56"/>
      <c r="CA140" s="44">
        <f t="shared" si="44"/>
        <v>0</v>
      </c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</row>
    <row r="141" spans="1:89" s="49" customFormat="1" ht="15.75" customHeight="1" x14ac:dyDescent="0.25">
      <c r="A141" s="40" t="s">
        <v>531</v>
      </c>
      <c r="B141" s="54" t="s">
        <v>475</v>
      </c>
      <c r="C141" s="54">
        <v>-33532407</v>
      </c>
      <c r="D141" s="54">
        <v>-7062629</v>
      </c>
      <c r="E141" s="54" t="s">
        <v>572</v>
      </c>
      <c r="F141" s="54">
        <v>-33532407</v>
      </c>
      <c r="G141" s="54">
        <v>-7062629</v>
      </c>
      <c r="H141" s="54" t="s">
        <v>96</v>
      </c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46">
        <f t="shared" si="35"/>
        <v>0</v>
      </c>
      <c r="AL141" s="46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46">
        <f t="shared" si="36"/>
        <v>0</v>
      </c>
      <c r="BA141" s="46"/>
      <c r="BB141" s="54"/>
      <c r="BC141" s="54"/>
      <c r="BD141" s="54"/>
      <c r="BE141" s="54"/>
      <c r="BF141" s="54"/>
      <c r="BG141" s="54"/>
      <c r="BH141" s="54"/>
      <c r="BI141" s="54"/>
      <c r="BJ141" s="46">
        <f t="shared" si="37"/>
        <v>0</v>
      </c>
      <c r="BK141" s="50"/>
      <c r="BL141" s="54"/>
      <c r="BM141" s="54"/>
      <c r="BN141" s="54"/>
      <c r="BO141" s="54"/>
      <c r="BP141" s="54"/>
      <c r="BQ141" s="54"/>
      <c r="BR141" s="54"/>
      <c r="BS141" s="47">
        <f t="shared" si="38"/>
        <v>0</v>
      </c>
      <c r="BT141" s="46"/>
      <c r="BU141" s="44">
        <f t="shared" si="39"/>
        <v>0</v>
      </c>
      <c r="BV141" s="44">
        <f t="shared" si="40"/>
        <v>0</v>
      </c>
      <c r="BW141" s="44">
        <f t="shared" si="41"/>
        <v>0</v>
      </c>
      <c r="BX141" s="44">
        <f t="shared" si="42"/>
        <v>0</v>
      </c>
      <c r="BY141" s="44">
        <f t="shared" si="43"/>
        <v>0</v>
      </c>
      <c r="BZ141" s="56"/>
      <c r="CA141" s="44">
        <f t="shared" si="44"/>
        <v>0</v>
      </c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</row>
    <row r="142" spans="1:89" s="49" customFormat="1" ht="15.75" customHeight="1" x14ac:dyDescent="0.25">
      <c r="A142" s="40" t="s">
        <v>531</v>
      </c>
      <c r="B142" s="54" t="s">
        <v>475</v>
      </c>
      <c r="C142" s="54">
        <v>-33532407</v>
      </c>
      <c r="D142" s="54">
        <v>-70626029</v>
      </c>
      <c r="E142" s="54" t="s">
        <v>573</v>
      </c>
      <c r="F142" s="54">
        <v>-33532407</v>
      </c>
      <c r="G142" s="54">
        <v>-70626029</v>
      </c>
      <c r="H142" s="54" t="s">
        <v>574</v>
      </c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46">
        <f t="shared" si="35"/>
        <v>0</v>
      </c>
      <c r="AL142" s="46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46">
        <f t="shared" si="36"/>
        <v>0</v>
      </c>
      <c r="BA142" s="46"/>
      <c r="BB142" s="54"/>
      <c r="BC142" s="54"/>
      <c r="BD142" s="54"/>
      <c r="BE142" s="54"/>
      <c r="BF142" s="54"/>
      <c r="BG142" s="54"/>
      <c r="BH142" s="54"/>
      <c r="BI142" s="54"/>
      <c r="BJ142" s="46">
        <f t="shared" si="37"/>
        <v>0</v>
      </c>
      <c r="BK142" s="50"/>
      <c r="BL142" s="54"/>
      <c r="BM142" s="54"/>
      <c r="BN142" s="54"/>
      <c r="BO142" s="54"/>
      <c r="BP142" s="54"/>
      <c r="BQ142" s="54"/>
      <c r="BR142" s="54"/>
      <c r="BS142" s="47">
        <f t="shared" si="38"/>
        <v>0</v>
      </c>
      <c r="BT142" s="46"/>
      <c r="BU142" s="44">
        <f t="shared" si="39"/>
        <v>0</v>
      </c>
      <c r="BV142" s="44">
        <f t="shared" si="40"/>
        <v>0</v>
      </c>
      <c r="BW142" s="44">
        <f t="shared" si="41"/>
        <v>0</v>
      </c>
      <c r="BX142" s="44">
        <f t="shared" si="42"/>
        <v>0</v>
      </c>
      <c r="BY142" s="44">
        <f t="shared" si="43"/>
        <v>0</v>
      </c>
      <c r="BZ142" s="56"/>
      <c r="CA142" s="44">
        <f t="shared" si="44"/>
        <v>0</v>
      </c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</row>
    <row r="143" spans="1:89" s="49" customFormat="1" ht="15.75" customHeight="1" x14ac:dyDescent="0.25">
      <c r="A143" s="40" t="s">
        <v>531</v>
      </c>
      <c r="B143" s="54" t="s">
        <v>475</v>
      </c>
      <c r="C143" s="54">
        <v>-3353401</v>
      </c>
      <c r="D143" s="54">
        <v>-70626029</v>
      </c>
      <c r="E143" s="54" t="s">
        <v>575</v>
      </c>
      <c r="F143" s="54">
        <v>-3353401</v>
      </c>
      <c r="G143" s="54">
        <v>-70626029</v>
      </c>
      <c r="H143" s="54" t="s">
        <v>94</v>
      </c>
      <c r="I143" s="54">
        <v>0</v>
      </c>
      <c r="J143" s="54">
        <v>0</v>
      </c>
      <c r="K143" s="54">
        <v>0</v>
      </c>
      <c r="L143" s="54">
        <v>1</v>
      </c>
      <c r="M143" s="54">
        <v>1</v>
      </c>
      <c r="N143" s="54">
        <v>1</v>
      </c>
      <c r="O143" s="54">
        <v>0</v>
      </c>
      <c r="P143" s="54">
        <v>1</v>
      </c>
      <c r="Q143" s="54">
        <v>1</v>
      </c>
      <c r="R143" s="54">
        <v>0</v>
      </c>
      <c r="S143" s="54">
        <v>1</v>
      </c>
      <c r="T143" s="54">
        <v>0</v>
      </c>
      <c r="U143" s="54">
        <v>0</v>
      </c>
      <c r="V143" s="54">
        <v>1</v>
      </c>
      <c r="W143" s="54">
        <v>1</v>
      </c>
      <c r="X143" s="54">
        <v>0</v>
      </c>
      <c r="Y143" s="54">
        <v>0</v>
      </c>
      <c r="Z143" s="54">
        <v>0</v>
      </c>
      <c r="AA143" s="54">
        <v>0</v>
      </c>
      <c r="AB143" s="54">
        <v>1</v>
      </c>
      <c r="AC143" s="54">
        <v>1</v>
      </c>
      <c r="AD143" s="54">
        <v>0</v>
      </c>
      <c r="AE143" s="54">
        <v>1</v>
      </c>
      <c r="AF143" s="54">
        <v>1</v>
      </c>
      <c r="AG143" s="54">
        <v>0</v>
      </c>
      <c r="AH143" s="54">
        <v>1</v>
      </c>
      <c r="AI143" s="54">
        <v>1</v>
      </c>
      <c r="AJ143" s="54">
        <v>1</v>
      </c>
      <c r="AK143" s="46">
        <f t="shared" si="35"/>
        <v>15</v>
      </c>
      <c r="AL143" s="55"/>
      <c r="AM143" s="41">
        <v>1</v>
      </c>
      <c r="AN143" s="41">
        <v>1</v>
      </c>
      <c r="AO143" s="54">
        <v>0</v>
      </c>
      <c r="AP143" s="54">
        <v>1</v>
      </c>
      <c r="AQ143" s="54">
        <v>0</v>
      </c>
      <c r="AR143" s="54">
        <v>0</v>
      </c>
      <c r="AS143" s="54">
        <v>0</v>
      </c>
      <c r="AT143" s="54">
        <v>1</v>
      </c>
      <c r="AU143" s="54">
        <v>1</v>
      </c>
      <c r="AV143" s="54">
        <v>1</v>
      </c>
      <c r="AW143" s="54">
        <v>0</v>
      </c>
      <c r="AX143" s="54">
        <v>0</v>
      </c>
      <c r="AY143" s="54">
        <v>0</v>
      </c>
      <c r="AZ143" s="46">
        <f t="shared" si="36"/>
        <v>6</v>
      </c>
      <c r="BA143" s="46"/>
      <c r="BB143" s="54">
        <v>0</v>
      </c>
      <c r="BC143" s="54">
        <v>0</v>
      </c>
      <c r="BD143" s="54">
        <v>0</v>
      </c>
      <c r="BE143" s="54">
        <v>0</v>
      </c>
      <c r="BF143" s="54">
        <v>0</v>
      </c>
      <c r="BG143" s="54">
        <v>0</v>
      </c>
      <c r="BH143" s="54">
        <v>0</v>
      </c>
      <c r="BI143" s="54">
        <v>0</v>
      </c>
      <c r="BJ143" s="46">
        <f t="shared" si="37"/>
        <v>0</v>
      </c>
      <c r="BK143" s="50"/>
      <c r="BL143" s="54">
        <v>0</v>
      </c>
      <c r="BM143" s="54">
        <v>0</v>
      </c>
      <c r="BN143" s="54">
        <v>0</v>
      </c>
      <c r="BO143" s="54">
        <v>0</v>
      </c>
      <c r="BP143" s="54">
        <v>0</v>
      </c>
      <c r="BQ143" s="54">
        <v>0</v>
      </c>
      <c r="BR143" s="54">
        <v>0</v>
      </c>
      <c r="BS143" s="47">
        <f t="shared" si="38"/>
        <v>0</v>
      </c>
      <c r="BT143" s="46"/>
      <c r="BU143" s="44">
        <f t="shared" si="39"/>
        <v>15</v>
      </c>
      <c r="BV143" s="44">
        <f t="shared" si="40"/>
        <v>6</v>
      </c>
      <c r="BW143" s="44">
        <f t="shared" si="41"/>
        <v>21</v>
      </c>
      <c r="BX143" s="44">
        <f t="shared" si="42"/>
        <v>0</v>
      </c>
      <c r="BY143" s="44">
        <f t="shared" si="43"/>
        <v>0</v>
      </c>
      <c r="BZ143" s="56"/>
      <c r="CA143" s="44">
        <f t="shared" si="44"/>
        <v>21</v>
      </c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</row>
    <row r="144" spans="1:89" s="49" customFormat="1" ht="15.75" customHeight="1" x14ac:dyDescent="0.25">
      <c r="A144" s="40" t="s">
        <v>531</v>
      </c>
      <c r="B144" s="54" t="s">
        <v>475</v>
      </c>
      <c r="C144" s="54">
        <v>-33532183</v>
      </c>
      <c r="D144" s="54">
        <v>-70623736</v>
      </c>
      <c r="E144" s="54" t="s">
        <v>576</v>
      </c>
      <c r="F144" s="54">
        <v>-33532183</v>
      </c>
      <c r="G144" s="54">
        <v>-70623736</v>
      </c>
      <c r="H144" s="54" t="s">
        <v>577</v>
      </c>
      <c r="I144" s="54">
        <v>0</v>
      </c>
      <c r="J144" s="54">
        <v>0</v>
      </c>
      <c r="K144" s="54">
        <v>0</v>
      </c>
      <c r="L144" s="54">
        <v>0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0</v>
      </c>
      <c r="U144" s="54">
        <v>0</v>
      </c>
      <c r="V144" s="54">
        <v>0</v>
      </c>
      <c r="W144" s="54">
        <v>0</v>
      </c>
      <c r="X144" s="54">
        <v>0</v>
      </c>
      <c r="Y144" s="54">
        <v>0</v>
      </c>
      <c r="Z144" s="54">
        <v>0</v>
      </c>
      <c r="AA144" s="54">
        <v>0</v>
      </c>
      <c r="AB144" s="54">
        <v>0</v>
      </c>
      <c r="AC144" s="54">
        <v>0</v>
      </c>
      <c r="AD144" s="54">
        <v>0</v>
      </c>
      <c r="AE144" s="54">
        <v>0</v>
      </c>
      <c r="AF144" s="54">
        <v>0</v>
      </c>
      <c r="AG144" s="54">
        <v>0</v>
      </c>
      <c r="AH144" s="54">
        <v>1</v>
      </c>
      <c r="AI144" s="54">
        <v>0</v>
      </c>
      <c r="AJ144" s="54">
        <v>0</v>
      </c>
      <c r="AK144" s="46">
        <f t="shared" si="35"/>
        <v>1</v>
      </c>
      <c r="AL144" s="55"/>
      <c r="AM144" s="41">
        <v>1</v>
      </c>
      <c r="AN144" s="41">
        <v>1</v>
      </c>
      <c r="AO144" s="54">
        <v>0</v>
      </c>
      <c r="AP144" s="54">
        <v>1</v>
      </c>
      <c r="AQ144" s="54">
        <v>1</v>
      </c>
      <c r="AR144" s="54">
        <v>1</v>
      </c>
      <c r="AS144" s="54">
        <v>0</v>
      </c>
      <c r="AT144" s="54">
        <v>0</v>
      </c>
      <c r="AU144" s="54">
        <v>0</v>
      </c>
      <c r="AV144" s="54">
        <v>0</v>
      </c>
      <c r="AW144" s="54">
        <v>0</v>
      </c>
      <c r="AX144" s="54">
        <v>0</v>
      </c>
      <c r="AY144" s="54">
        <v>0</v>
      </c>
      <c r="AZ144" s="46">
        <f t="shared" si="36"/>
        <v>5</v>
      </c>
      <c r="BA144" s="46"/>
      <c r="BB144" s="54">
        <v>0</v>
      </c>
      <c r="BC144" s="54">
        <v>0</v>
      </c>
      <c r="BD144" s="54">
        <v>0</v>
      </c>
      <c r="BE144" s="54">
        <v>0</v>
      </c>
      <c r="BF144" s="54">
        <v>0</v>
      </c>
      <c r="BG144" s="54">
        <v>0</v>
      </c>
      <c r="BH144" s="54">
        <v>0</v>
      </c>
      <c r="BI144" s="54">
        <v>0</v>
      </c>
      <c r="BJ144" s="46">
        <f t="shared" si="37"/>
        <v>0</v>
      </c>
      <c r="BK144" s="50"/>
      <c r="BL144" s="54">
        <v>0</v>
      </c>
      <c r="BM144" s="54">
        <v>0</v>
      </c>
      <c r="BN144" s="54">
        <v>0</v>
      </c>
      <c r="BO144" s="54">
        <v>0</v>
      </c>
      <c r="BP144" s="54">
        <v>0</v>
      </c>
      <c r="BQ144" s="54">
        <v>0</v>
      </c>
      <c r="BR144" s="54">
        <v>0</v>
      </c>
      <c r="BS144" s="47">
        <f t="shared" si="38"/>
        <v>0</v>
      </c>
      <c r="BT144" s="46"/>
      <c r="BU144" s="44">
        <f t="shared" si="39"/>
        <v>1</v>
      </c>
      <c r="BV144" s="44">
        <f t="shared" si="40"/>
        <v>5</v>
      </c>
      <c r="BW144" s="44">
        <f t="shared" si="41"/>
        <v>6</v>
      </c>
      <c r="BX144" s="44">
        <f t="shared" si="42"/>
        <v>0</v>
      </c>
      <c r="BY144" s="44">
        <f t="shared" si="43"/>
        <v>0</v>
      </c>
      <c r="BZ144" s="56"/>
      <c r="CA144" s="44">
        <f t="shared" si="44"/>
        <v>6</v>
      </c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</row>
    <row r="145" spans="1:89" s="49" customFormat="1" ht="15.75" customHeight="1" x14ac:dyDescent="0.25">
      <c r="A145" s="40" t="s">
        <v>531</v>
      </c>
      <c r="B145" s="54" t="s">
        <v>475</v>
      </c>
      <c r="C145" s="54">
        <v>-33532183</v>
      </c>
      <c r="D145" s="54">
        <v>-70623736</v>
      </c>
      <c r="E145" s="54" t="s">
        <v>578</v>
      </c>
      <c r="F145" s="54">
        <v>-33532183</v>
      </c>
      <c r="G145" s="54">
        <v>-70623736</v>
      </c>
      <c r="H145" s="54" t="s">
        <v>579</v>
      </c>
      <c r="I145" s="54">
        <v>1</v>
      </c>
      <c r="J145" s="54">
        <v>0</v>
      </c>
      <c r="K145" s="54">
        <v>0</v>
      </c>
      <c r="L145" s="54">
        <v>0</v>
      </c>
      <c r="M145" s="54">
        <v>1</v>
      </c>
      <c r="N145" s="54">
        <v>1</v>
      </c>
      <c r="O145" s="54">
        <v>1</v>
      </c>
      <c r="P145" s="54">
        <v>0</v>
      </c>
      <c r="Q145" s="54">
        <v>1</v>
      </c>
      <c r="R145" s="54">
        <v>1</v>
      </c>
      <c r="S145" s="54">
        <v>1</v>
      </c>
      <c r="T145" s="54">
        <v>1</v>
      </c>
      <c r="U145" s="54">
        <v>0</v>
      </c>
      <c r="V145" s="54">
        <v>0</v>
      </c>
      <c r="W145" s="54">
        <v>1</v>
      </c>
      <c r="X145" s="54">
        <v>1</v>
      </c>
      <c r="Y145" s="54">
        <v>0</v>
      </c>
      <c r="Z145" s="54">
        <v>1</v>
      </c>
      <c r="AA145" s="54">
        <v>1</v>
      </c>
      <c r="AB145" s="54">
        <v>0</v>
      </c>
      <c r="AC145" s="54">
        <v>1</v>
      </c>
      <c r="AD145" s="54">
        <v>1</v>
      </c>
      <c r="AE145" s="54">
        <v>1</v>
      </c>
      <c r="AF145" s="54">
        <v>1</v>
      </c>
      <c r="AG145" s="54">
        <v>1</v>
      </c>
      <c r="AH145" s="54">
        <v>1</v>
      </c>
      <c r="AI145" s="54">
        <v>1</v>
      </c>
      <c r="AJ145" s="54">
        <v>1</v>
      </c>
      <c r="AK145" s="46">
        <f t="shared" si="35"/>
        <v>20</v>
      </c>
      <c r="AL145" s="55"/>
      <c r="AM145" s="41">
        <v>1</v>
      </c>
      <c r="AN145" s="41">
        <v>1</v>
      </c>
      <c r="AO145" s="54">
        <v>1</v>
      </c>
      <c r="AP145" s="54">
        <v>1</v>
      </c>
      <c r="AQ145" s="54">
        <v>1</v>
      </c>
      <c r="AR145" s="54">
        <v>0</v>
      </c>
      <c r="AS145" s="54">
        <v>0</v>
      </c>
      <c r="AT145" s="54">
        <v>0</v>
      </c>
      <c r="AU145" s="54">
        <v>1</v>
      </c>
      <c r="AV145" s="54">
        <v>1</v>
      </c>
      <c r="AW145" s="54">
        <v>1</v>
      </c>
      <c r="AX145" s="54">
        <v>0</v>
      </c>
      <c r="AY145" s="54">
        <v>1</v>
      </c>
      <c r="AZ145" s="46">
        <f t="shared" si="36"/>
        <v>9</v>
      </c>
      <c r="BA145" s="46"/>
      <c r="BB145" s="54">
        <v>0</v>
      </c>
      <c r="BC145" s="54">
        <v>1</v>
      </c>
      <c r="BD145" s="54">
        <v>0</v>
      </c>
      <c r="BE145" s="54">
        <v>0</v>
      </c>
      <c r="BF145" s="54">
        <v>0</v>
      </c>
      <c r="BG145" s="54">
        <v>0</v>
      </c>
      <c r="BH145" s="54">
        <v>0</v>
      </c>
      <c r="BI145" s="54">
        <v>0</v>
      </c>
      <c r="BJ145" s="46">
        <f t="shared" si="37"/>
        <v>1</v>
      </c>
      <c r="BK145" s="50"/>
      <c r="BL145" s="54">
        <v>0</v>
      </c>
      <c r="BM145" s="54">
        <v>0</v>
      </c>
      <c r="BN145" s="54">
        <v>0</v>
      </c>
      <c r="BO145" s="54">
        <v>0</v>
      </c>
      <c r="BP145" s="54">
        <v>0</v>
      </c>
      <c r="BQ145" s="54">
        <v>0</v>
      </c>
      <c r="BR145" s="54">
        <v>0</v>
      </c>
      <c r="BS145" s="47">
        <f t="shared" si="38"/>
        <v>0</v>
      </c>
      <c r="BT145" s="46"/>
      <c r="BU145" s="44">
        <f t="shared" si="39"/>
        <v>20</v>
      </c>
      <c r="BV145" s="44">
        <f t="shared" si="40"/>
        <v>9</v>
      </c>
      <c r="BW145" s="44">
        <f t="shared" si="41"/>
        <v>29</v>
      </c>
      <c r="BX145" s="44">
        <f t="shared" si="42"/>
        <v>1</v>
      </c>
      <c r="BY145" s="44">
        <f t="shared" si="43"/>
        <v>0</v>
      </c>
      <c r="BZ145" s="56"/>
      <c r="CA145" s="44">
        <f t="shared" si="44"/>
        <v>30</v>
      </c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</row>
    <row r="146" spans="1:89" s="49" customFormat="1" ht="15.75" customHeight="1" x14ac:dyDescent="0.25">
      <c r="A146" s="40" t="s">
        <v>531</v>
      </c>
      <c r="B146" s="54" t="s">
        <v>475</v>
      </c>
      <c r="C146" s="54">
        <v>-33532134</v>
      </c>
      <c r="D146" s="54">
        <v>-70623153</v>
      </c>
      <c r="E146" s="54" t="s">
        <v>580</v>
      </c>
      <c r="F146" s="54">
        <v>-33532134</v>
      </c>
      <c r="G146" s="54">
        <v>-70623153</v>
      </c>
      <c r="H146" s="54" t="s">
        <v>210</v>
      </c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46">
        <f t="shared" si="35"/>
        <v>0</v>
      </c>
      <c r="AL146" s="55"/>
      <c r="AM146" s="41"/>
      <c r="AN146" s="41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46">
        <f t="shared" si="36"/>
        <v>0</v>
      </c>
      <c r="BA146" s="46"/>
      <c r="BB146" s="54"/>
      <c r="BC146" s="54"/>
      <c r="BD146" s="54"/>
      <c r="BE146" s="54"/>
      <c r="BF146" s="54"/>
      <c r="BG146" s="54"/>
      <c r="BH146" s="54"/>
      <c r="BI146" s="54"/>
      <c r="BJ146" s="46">
        <f t="shared" si="37"/>
        <v>0</v>
      </c>
      <c r="BK146" s="50"/>
      <c r="BL146" s="54"/>
      <c r="BM146" s="54"/>
      <c r="BN146" s="54"/>
      <c r="BO146" s="54"/>
      <c r="BP146" s="54"/>
      <c r="BQ146" s="54"/>
      <c r="BR146" s="54"/>
      <c r="BS146" s="47">
        <f t="shared" si="38"/>
        <v>0</v>
      </c>
      <c r="BT146" s="46"/>
      <c r="BU146" s="44">
        <f t="shared" si="39"/>
        <v>0</v>
      </c>
      <c r="BV146" s="44">
        <f t="shared" si="40"/>
        <v>0</v>
      </c>
      <c r="BW146" s="44">
        <f t="shared" si="41"/>
        <v>0</v>
      </c>
      <c r="BX146" s="44">
        <f t="shared" si="42"/>
        <v>0</v>
      </c>
      <c r="BY146" s="44">
        <f t="shared" si="43"/>
        <v>0</v>
      </c>
      <c r="BZ146" s="56"/>
      <c r="CA146" s="44">
        <f t="shared" si="44"/>
        <v>0</v>
      </c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</row>
    <row r="147" spans="1:89" s="49" customFormat="1" ht="15.75" customHeight="1" x14ac:dyDescent="0.25">
      <c r="A147" s="40" t="s">
        <v>531</v>
      </c>
      <c r="B147" s="54" t="s">
        <v>475</v>
      </c>
      <c r="C147" s="54">
        <v>-33532134</v>
      </c>
      <c r="D147" s="54">
        <v>-70523153</v>
      </c>
      <c r="E147" s="54" t="s">
        <v>581</v>
      </c>
      <c r="F147" s="54">
        <v>-33532134</v>
      </c>
      <c r="G147" s="54">
        <v>-70523153</v>
      </c>
      <c r="H147" s="54" t="s">
        <v>96</v>
      </c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46">
        <f t="shared" si="35"/>
        <v>0</v>
      </c>
      <c r="AL147" s="55"/>
      <c r="AM147" s="41"/>
      <c r="AN147" s="41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46">
        <f t="shared" si="36"/>
        <v>0</v>
      </c>
      <c r="BA147" s="46"/>
      <c r="BB147" s="54"/>
      <c r="BC147" s="54"/>
      <c r="BD147" s="54"/>
      <c r="BE147" s="54"/>
      <c r="BF147" s="54"/>
      <c r="BG147" s="54"/>
      <c r="BH147" s="54"/>
      <c r="BI147" s="54"/>
      <c r="BJ147" s="46">
        <f t="shared" si="37"/>
        <v>0</v>
      </c>
      <c r="BK147" s="50"/>
      <c r="BL147" s="54"/>
      <c r="BM147" s="54"/>
      <c r="BN147" s="54"/>
      <c r="BO147" s="54"/>
      <c r="BP147" s="54"/>
      <c r="BQ147" s="54"/>
      <c r="BR147" s="54"/>
      <c r="BS147" s="47">
        <f t="shared" si="38"/>
        <v>0</v>
      </c>
      <c r="BT147" s="46"/>
      <c r="BU147" s="44">
        <f t="shared" si="39"/>
        <v>0</v>
      </c>
      <c r="BV147" s="44">
        <f t="shared" si="40"/>
        <v>0</v>
      </c>
      <c r="BW147" s="44">
        <f t="shared" si="41"/>
        <v>0</v>
      </c>
      <c r="BX147" s="44">
        <f t="shared" si="42"/>
        <v>0</v>
      </c>
      <c r="BY147" s="44">
        <f t="shared" si="43"/>
        <v>0</v>
      </c>
      <c r="BZ147" s="56"/>
      <c r="CA147" s="44">
        <f t="shared" si="44"/>
        <v>0</v>
      </c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</row>
    <row r="148" spans="1:89" s="49" customFormat="1" ht="15.75" customHeight="1" x14ac:dyDescent="0.25">
      <c r="A148" s="40" t="s">
        <v>531</v>
      </c>
      <c r="B148" s="54" t="s">
        <v>475</v>
      </c>
      <c r="C148" s="54">
        <v>-33532142</v>
      </c>
      <c r="D148" s="54">
        <v>-70633075</v>
      </c>
      <c r="E148" s="54" t="s">
        <v>582</v>
      </c>
      <c r="F148" s="54">
        <v>-33532142</v>
      </c>
      <c r="G148" s="54">
        <v>-70633075</v>
      </c>
      <c r="H148" s="54" t="s">
        <v>94</v>
      </c>
      <c r="I148" s="54">
        <v>0</v>
      </c>
      <c r="J148" s="54">
        <v>0</v>
      </c>
      <c r="K148" s="54">
        <v>0</v>
      </c>
      <c r="L148" s="54">
        <v>0</v>
      </c>
      <c r="M148" s="54">
        <v>1</v>
      </c>
      <c r="N148" s="54">
        <v>1</v>
      </c>
      <c r="O148" s="54">
        <v>1</v>
      </c>
      <c r="P148" s="54">
        <v>0</v>
      </c>
      <c r="Q148" s="54">
        <v>1</v>
      </c>
      <c r="R148" s="54">
        <v>1</v>
      </c>
      <c r="S148" s="54">
        <v>0</v>
      </c>
      <c r="T148" s="54">
        <v>1</v>
      </c>
      <c r="U148" s="54">
        <v>0</v>
      </c>
      <c r="V148" s="54">
        <v>0</v>
      </c>
      <c r="W148" s="54">
        <v>1</v>
      </c>
      <c r="X148" s="54">
        <v>1</v>
      </c>
      <c r="Y148" s="54">
        <v>0</v>
      </c>
      <c r="Z148" s="54">
        <v>1</v>
      </c>
      <c r="AA148" s="54">
        <v>1</v>
      </c>
      <c r="AB148" s="54">
        <v>0</v>
      </c>
      <c r="AC148" s="54">
        <v>1</v>
      </c>
      <c r="AD148" s="54">
        <v>1</v>
      </c>
      <c r="AE148" s="54">
        <v>0</v>
      </c>
      <c r="AF148" s="54">
        <v>1</v>
      </c>
      <c r="AG148" s="54">
        <v>1</v>
      </c>
      <c r="AH148" s="54">
        <v>1</v>
      </c>
      <c r="AI148" s="54">
        <v>1</v>
      </c>
      <c r="AJ148" s="54">
        <v>1</v>
      </c>
      <c r="AK148" s="46">
        <f t="shared" si="35"/>
        <v>17</v>
      </c>
      <c r="AL148" s="55"/>
      <c r="AM148" s="41">
        <v>1</v>
      </c>
      <c r="AN148" s="41">
        <v>1</v>
      </c>
      <c r="AO148" s="54">
        <v>1</v>
      </c>
      <c r="AP148" s="54">
        <v>1</v>
      </c>
      <c r="AQ148" s="54">
        <v>1</v>
      </c>
      <c r="AR148" s="54">
        <v>1</v>
      </c>
      <c r="AS148" s="54">
        <v>1</v>
      </c>
      <c r="AT148" s="54">
        <v>0</v>
      </c>
      <c r="AU148" s="54">
        <v>1</v>
      </c>
      <c r="AV148" s="54">
        <v>1</v>
      </c>
      <c r="AW148" s="54">
        <v>0</v>
      </c>
      <c r="AX148" s="54">
        <v>0</v>
      </c>
      <c r="AY148" s="54">
        <v>1</v>
      </c>
      <c r="AZ148" s="46">
        <f t="shared" si="36"/>
        <v>10</v>
      </c>
      <c r="BA148" s="46"/>
      <c r="BB148" s="54">
        <v>0</v>
      </c>
      <c r="BC148" s="54">
        <v>1</v>
      </c>
      <c r="BD148" s="54">
        <v>0</v>
      </c>
      <c r="BE148" s="54">
        <v>0</v>
      </c>
      <c r="BF148" s="54">
        <v>0</v>
      </c>
      <c r="BG148" s="54">
        <v>1</v>
      </c>
      <c r="BH148" s="54">
        <v>0</v>
      </c>
      <c r="BI148" s="54">
        <v>0</v>
      </c>
      <c r="BJ148" s="46">
        <f t="shared" si="37"/>
        <v>2</v>
      </c>
      <c r="BK148" s="50"/>
      <c r="BL148" s="54">
        <v>0</v>
      </c>
      <c r="BM148" s="54">
        <v>0</v>
      </c>
      <c r="BN148" s="54">
        <v>0</v>
      </c>
      <c r="BO148" s="54">
        <v>0</v>
      </c>
      <c r="BP148" s="54">
        <v>0</v>
      </c>
      <c r="BQ148" s="54">
        <v>0</v>
      </c>
      <c r="BR148" s="54">
        <v>0</v>
      </c>
      <c r="BS148" s="47">
        <f t="shared" si="38"/>
        <v>0</v>
      </c>
      <c r="BT148" s="46"/>
      <c r="BU148" s="44">
        <f t="shared" si="39"/>
        <v>17</v>
      </c>
      <c r="BV148" s="44">
        <f t="shared" si="40"/>
        <v>10</v>
      </c>
      <c r="BW148" s="44">
        <f t="shared" si="41"/>
        <v>27</v>
      </c>
      <c r="BX148" s="44">
        <f t="shared" si="42"/>
        <v>2</v>
      </c>
      <c r="BY148" s="44">
        <f t="shared" si="43"/>
        <v>0</v>
      </c>
      <c r="BZ148" s="56"/>
      <c r="CA148" s="44">
        <f t="shared" si="44"/>
        <v>29</v>
      </c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</row>
    <row r="149" spans="1:89" s="49" customFormat="1" ht="15.75" customHeight="1" x14ac:dyDescent="0.25">
      <c r="A149" s="40" t="s">
        <v>531</v>
      </c>
      <c r="B149" s="54" t="s">
        <v>475</v>
      </c>
      <c r="C149" s="54">
        <v>-3353188</v>
      </c>
      <c r="D149" s="54">
        <v>-70622882</v>
      </c>
      <c r="E149" s="54" t="s">
        <v>583</v>
      </c>
      <c r="F149" s="54">
        <v>-3353188</v>
      </c>
      <c r="G149" s="54">
        <v>-70622882</v>
      </c>
      <c r="H149" s="54" t="s">
        <v>94</v>
      </c>
      <c r="I149" s="54">
        <v>0</v>
      </c>
      <c r="J149" s="54">
        <v>0</v>
      </c>
      <c r="K149" s="54">
        <v>0</v>
      </c>
      <c r="L149" s="54">
        <v>0</v>
      </c>
      <c r="M149" s="54">
        <v>0</v>
      </c>
      <c r="N149" s="54">
        <v>1</v>
      </c>
      <c r="O149" s="54">
        <v>1</v>
      </c>
      <c r="P149" s="54">
        <v>0</v>
      </c>
      <c r="Q149" s="54">
        <v>1</v>
      </c>
      <c r="R149" s="54">
        <v>1</v>
      </c>
      <c r="S149" s="54">
        <v>1</v>
      </c>
      <c r="T149" s="54">
        <v>0</v>
      </c>
      <c r="U149" s="54">
        <v>0</v>
      </c>
      <c r="V149" s="54">
        <v>0</v>
      </c>
      <c r="W149" s="54">
        <v>0</v>
      </c>
      <c r="X149" s="54">
        <v>0</v>
      </c>
      <c r="Y149" s="54">
        <v>0</v>
      </c>
      <c r="Z149" s="54">
        <v>0</v>
      </c>
      <c r="AA149" s="54">
        <v>1</v>
      </c>
      <c r="AB149" s="54">
        <v>0</v>
      </c>
      <c r="AC149" s="54">
        <v>1</v>
      </c>
      <c r="AD149" s="54">
        <v>1</v>
      </c>
      <c r="AE149" s="54">
        <v>0</v>
      </c>
      <c r="AF149" s="54">
        <v>1</v>
      </c>
      <c r="AG149" s="54">
        <v>1</v>
      </c>
      <c r="AH149" s="54">
        <v>1</v>
      </c>
      <c r="AI149" s="54">
        <v>1</v>
      </c>
      <c r="AJ149" s="54">
        <v>1</v>
      </c>
      <c r="AK149" s="46">
        <f t="shared" si="35"/>
        <v>13</v>
      </c>
      <c r="AL149" s="55"/>
      <c r="AM149" s="41">
        <v>1</v>
      </c>
      <c r="AN149" s="41">
        <v>1</v>
      </c>
      <c r="AO149" s="54">
        <v>1</v>
      </c>
      <c r="AP149" s="54">
        <v>1</v>
      </c>
      <c r="AQ149" s="54">
        <v>1</v>
      </c>
      <c r="AR149" s="54">
        <v>1</v>
      </c>
      <c r="AS149" s="54">
        <v>1</v>
      </c>
      <c r="AT149" s="54">
        <v>0</v>
      </c>
      <c r="AU149" s="54">
        <v>1</v>
      </c>
      <c r="AV149" s="54">
        <v>1</v>
      </c>
      <c r="AW149" s="54">
        <v>1</v>
      </c>
      <c r="AX149" s="54">
        <v>0</v>
      </c>
      <c r="AY149" s="54">
        <v>0</v>
      </c>
      <c r="AZ149" s="46">
        <f t="shared" si="36"/>
        <v>10</v>
      </c>
      <c r="BA149" s="46"/>
      <c r="BB149" s="54">
        <v>0</v>
      </c>
      <c r="BC149" s="54">
        <v>0</v>
      </c>
      <c r="BD149" s="54">
        <v>0</v>
      </c>
      <c r="BE149" s="54">
        <v>0</v>
      </c>
      <c r="BF149" s="54">
        <v>0</v>
      </c>
      <c r="BG149" s="54">
        <v>0</v>
      </c>
      <c r="BH149" s="54">
        <v>0</v>
      </c>
      <c r="BI149" s="54">
        <v>0</v>
      </c>
      <c r="BJ149" s="46">
        <f t="shared" si="37"/>
        <v>0</v>
      </c>
      <c r="BK149" s="50"/>
      <c r="BL149" s="54">
        <v>0</v>
      </c>
      <c r="BM149" s="54">
        <v>0</v>
      </c>
      <c r="BN149" s="54">
        <v>0</v>
      </c>
      <c r="BO149" s="54">
        <v>0</v>
      </c>
      <c r="BP149" s="54">
        <v>0</v>
      </c>
      <c r="BQ149" s="54">
        <v>0</v>
      </c>
      <c r="BR149" s="54">
        <v>0</v>
      </c>
      <c r="BS149" s="47">
        <f t="shared" si="38"/>
        <v>0</v>
      </c>
      <c r="BT149" s="46"/>
      <c r="BU149" s="44">
        <f t="shared" si="39"/>
        <v>13</v>
      </c>
      <c r="BV149" s="44">
        <f t="shared" si="40"/>
        <v>10</v>
      </c>
      <c r="BW149" s="44">
        <f t="shared" si="41"/>
        <v>23</v>
      </c>
      <c r="BX149" s="44">
        <f t="shared" si="42"/>
        <v>0</v>
      </c>
      <c r="BY149" s="44">
        <f t="shared" si="43"/>
        <v>0</v>
      </c>
      <c r="BZ149" s="56"/>
      <c r="CA149" s="44">
        <f t="shared" si="44"/>
        <v>23</v>
      </c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</row>
    <row r="150" spans="1:89" s="49" customFormat="1" ht="15.75" customHeight="1" x14ac:dyDescent="0.25">
      <c r="A150" s="40" t="s">
        <v>531</v>
      </c>
      <c r="B150" s="54" t="s">
        <v>475</v>
      </c>
      <c r="C150" s="54">
        <v>-33533539</v>
      </c>
      <c r="D150" s="54">
        <v>-70622472</v>
      </c>
      <c r="E150" s="54" t="s">
        <v>584</v>
      </c>
      <c r="F150" s="54">
        <v>-33533539</v>
      </c>
      <c r="G150" s="54">
        <v>-70622472</v>
      </c>
      <c r="H150" s="54" t="s">
        <v>96</v>
      </c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46">
        <f t="shared" si="35"/>
        <v>0</v>
      </c>
      <c r="AL150" s="55"/>
      <c r="AM150" s="41"/>
      <c r="AN150" s="41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46">
        <f t="shared" si="36"/>
        <v>0</v>
      </c>
      <c r="BA150" s="46"/>
      <c r="BB150" s="54"/>
      <c r="BC150" s="54"/>
      <c r="BD150" s="54"/>
      <c r="BE150" s="54"/>
      <c r="BF150" s="54"/>
      <c r="BG150" s="54"/>
      <c r="BH150" s="54"/>
      <c r="BI150" s="54"/>
      <c r="BJ150" s="46">
        <f t="shared" si="37"/>
        <v>0</v>
      </c>
      <c r="BK150" s="50"/>
      <c r="BL150" s="54"/>
      <c r="BM150" s="54"/>
      <c r="BN150" s="54"/>
      <c r="BO150" s="54"/>
      <c r="BP150" s="54"/>
      <c r="BQ150" s="54"/>
      <c r="BR150" s="54"/>
      <c r="BS150" s="47">
        <f t="shared" si="38"/>
        <v>0</v>
      </c>
      <c r="BT150" s="46"/>
      <c r="BU150" s="44">
        <f t="shared" si="39"/>
        <v>0</v>
      </c>
      <c r="BV150" s="44">
        <f t="shared" si="40"/>
        <v>0</v>
      </c>
      <c r="BW150" s="44">
        <f t="shared" si="41"/>
        <v>0</v>
      </c>
      <c r="BX150" s="44">
        <f t="shared" si="42"/>
        <v>0</v>
      </c>
      <c r="BY150" s="44">
        <f t="shared" si="43"/>
        <v>0</v>
      </c>
      <c r="BZ150" s="56"/>
      <c r="CA150" s="44">
        <f t="shared" si="44"/>
        <v>0</v>
      </c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</row>
    <row r="151" spans="1:89" s="49" customFormat="1" ht="15.75" customHeight="1" x14ac:dyDescent="0.25">
      <c r="A151" s="40" t="s">
        <v>531</v>
      </c>
      <c r="B151" s="54" t="s">
        <v>475</v>
      </c>
      <c r="C151" s="54">
        <v>-33533721</v>
      </c>
      <c r="D151" s="54">
        <v>-70622212</v>
      </c>
      <c r="E151" s="54" t="s">
        <v>585</v>
      </c>
      <c r="F151" s="54">
        <v>-33533721</v>
      </c>
      <c r="G151" s="54">
        <v>-70622212</v>
      </c>
      <c r="H151" s="54" t="s">
        <v>132</v>
      </c>
      <c r="I151" s="54">
        <v>0</v>
      </c>
      <c r="J151" s="54">
        <v>0</v>
      </c>
      <c r="K151" s="54">
        <v>0</v>
      </c>
      <c r="L151" s="54">
        <v>1</v>
      </c>
      <c r="M151" s="54">
        <v>1</v>
      </c>
      <c r="N151" s="54">
        <v>1</v>
      </c>
      <c r="O151" s="54">
        <v>1</v>
      </c>
      <c r="P151" s="54">
        <v>0</v>
      </c>
      <c r="Q151" s="54">
        <v>1</v>
      </c>
      <c r="R151" s="54">
        <v>0</v>
      </c>
      <c r="S151" s="54">
        <v>1</v>
      </c>
      <c r="T151" s="54">
        <v>1</v>
      </c>
      <c r="U151" s="54">
        <v>0</v>
      </c>
      <c r="V151" s="54">
        <v>0</v>
      </c>
      <c r="W151" s="54">
        <v>1</v>
      </c>
      <c r="X151" s="54">
        <v>1</v>
      </c>
      <c r="Y151" s="54">
        <v>0</v>
      </c>
      <c r="Z151" s="54">
        <v>0</v>
      </c>
      <c r="AA151" s="54">
        <v>0</v>
      </c>
      <c r="AB151" s="54">
        <v>0</v>
      </c>
      <c r="AC151" s="54">
        <v>1</v>
      </c>
      <c r="AD151" s="54">
        <v>1</v>
      </c>
      <c r="AE151" s="54">
        <v>0</v>
      </c>
      <c r="AF151" s="54">
        <v>1</v>
      </c>
      <c r="AG151" s="54">
        <v>1</v>
      </c>
      <c r="AH151" s="54">
        <v>1</v>
      </c>
      <c r="AI151" s="54">
        <v>1</v>
      </c>
      <c r="AJ151" s="54">
        <v>1</v>
      </c>
      <c r="AK151" s="46">
        <f t="shared" si="35"/>
        <v>16</v>
      </c>
      <c r="AL151" s="55"/>
      <c r="AM151" s="41">
        <v>1</v>
      </c>
      <c r="AN151" s="41">
        <v>1</v>
      </c>
      <c r="AO151" s="54">
        <v>1</v>
      </c>
      <c r="AP151" s="54">
        <v>1</v>
      </c>
      <c r="AQ151" s="54">
        <v>1</v>
      </c>
      <c r="AR151" s="54">
        <v>0</v>
      </c>
      <c r="AS151" s="54">
        <v>1</v>
      </c>
      <c r="AT151" s="54">
        <v>0</v>
      </c>
      <c r="AU151" s="54">
        <v>0</v>
      </c>
      <c r="AV151" s="54">
        <v>0</v>
      </c>
      <c r="AW151" s="54">
        <v>1</v>
      </c>
      <c r="AX151" s="54">
        <v>1</v>
      </c>
      <c r="AY151" s="54">
        <v>1</v>
      </c>
      <c r="AZ151" s="46">
        <f t="shared" si="36"/>
        <v>9</v>
      </c>
      <c r="BA151" s="46"/>
      <c r="BB151" s="54">
        <v>0</v>
      </c>
      <c r="BC151" s="54">
        <v>0</v>
      </c>
      <c r="BD151" s="54">
        <v>0</v>
      </c>
      <c r="BE151" s="54">
        <v>0</v>
      </c>
      <c r="BF151" s="54">
        <v>0</v>
      </c>
      <c r="BG151" s="54">
        <v>0</v>
      </c>
      <c r="BH151" s="54">
        <v>0</v>
      </c>
      <c r="BI151" s="54">
        <v>0</v>
      </c>
      <c r="BJ151" s="46">
        <f t="shared" si="37"/>
        <v>0</v>
      </c>
      <c r="BK151" s="50"/>
      <c r="BL151" s="54">
        <v>0</v>
      </c>
      <c r="BM151" s="54">
        <v>0</v>
      </c>
      <c r="BN151" s="54">
        <v>0</v>
      </c>
      <c r="BO151" s="54">
        <v>0</v>
      </c>
      <c r="BP151" s="54">
        <v>0</v>
      </c>
      <c r="BQ151" s="54">
        <v>0</v>
      </c>
      <c r="BR151" s="54">
        <v>0</v>
      </c>
      <c r="BS151" s="47">
        <f t="shared" si="38"/>
        <v>0</v>
      </c>
      <c r="BT151" s="46"/>
      <c r="BU151" s="44">
        <f t="shared" si="39"/>
        <v>16</v>
      </c>
      <c r="BV151" s="44">
        <f t="shared" si="40"/>
        <v>9</v>
      </c>
      <c r="BW151" s="44">
        <f t="shared" si="41"/>
        <v>25</v>
      </c>
      <c r="BX151" s="44">
        <f t="shared" si="42"/>
        <v>0</v>
      </c>
      <c r="BY151" s="44">
        <f t="shared" si="43"/>
        <v>0</v>
      </c>
      <c r="BZ151" s="56"/>
      <c r="CA151" s="44">
        <f t="shared" si="44"/>
        <v>25</v>
      </c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</row>
    <row r="152" spans="1:89" s="49" customFormat="1" ht="15.75" customHeight="1" x14ac:dyDescent="0.25">
      <c r="A152" s="40" t="s">
        <v>531</v>
      </c>
      <c r="B152" s="54" t="s">
        <v>475</v>
      </c>
      <c r="C152" s="54">
        <v>-33531852</v>
      </c>
      <c r="D152" s="54">
        <v>-70621382</v>
      </c>
      <c r="E152" s="54" t="s">
        <v>586</v>
      </c>
      <c r="F152" s="54">
        <v>-33531852</v>
      </c>
      <c r="G152" s="54">
        <v>-70621382</v>
      </c>
      <c r="H152" s="54" t="s">
        <v>94</v>
      </c>
      <c r="I152" s="54">
        <v>0</v>
      </c>
      <c r="J152" s="54">
        <v>0</v>
      </c>
      <c r="K152" s="54">
        <v>0</v>
      </c>
      <c r="L152" s="54">
        <v>1</v>
      </c>
      <c r="M152" s="54">
        <v>1</v>
      </c>
      <c r="N152" s="54">
        <v>1</v>
      </c>
      <c r="O152" s="54">
        <v>1</v>
      </c>
      <c r="P152" s="54">
        <v>0</v>
      </c>
      <c r="Q152" s="54">
        <v>1</v>
      </c>
      <c r="R152" s="54">
        <v>0</v>
      </c>
      <c r="S152" s="54">
        <v>1</v>
      </c>
      <c r="T152" s="54">
        <v>1</v>
      </c>
      <c r="U152" s="54">
        <v>0</v>
      </c>
      <c r="V152" s="54">
        <v>0</v>
      </c>
      <c r="W152" s="54">
        <v>1</v>
      </c>
      <c r="X152" s="54">
        <v>1</v>
      </c>
      <c r="Y152" s="54">
        <v>0</v>
      </c>
      <c r="Z152" s="54">
        <v>0</v>
      </c>
      <c r="AA152" s="54">
        <v>0</v>
      </c>
      <c r="AB152" s="54">
        <v>0</v>
      </c>
      <c r="AC152" s="54">
        <v>1</v>
      </c>
      <c r="AD152" s="54">
        <v>1</v>
      </c>
      <c r="AE152" s="54">
        <v>0</v>
      </c>
      <c r="AF152" s="54">
        <v>1</v>
      </c>
      <c r="AG152" s="54">
        <v>1</v>
      </c>
      <c r="AH152" s="54">
        <v>1</v>
      </c>
      <c r="AI152" s="54">
        <v>0</v>
      </c>
      <c r="AJ152" s="54">
        <v>0</v>
      </c>
      <c r="AK152" s="46">
        <f t="shared" si="35"/>
        <v>14</v>
      </c>
      <c r="AL152" s="46"/>
      <c r="AM152" s="54">
        <v>1</v>
      </c>
      <c r="AN152" s="54">
        <v>1</v>
      </c>
      <c r="AO152" s="54">
        <v>1</v>
      </c>
      <c r="AP152" s="54">
        <v>1</v>
      </c>
      <c r="AQ152" s="54">
        <v>1</v>
      </c>
      <c r="AR152" s="54">
        <v>0</v>
      </c>
      <c r="AS152" s="54">
        <v>1</v>
      </c>
      <c r="AT152" s="54">
        <v>0</v>
      </c>
      <c r="AU152" s="54">
        <v>0</v>
      </c>
      <c r="AV152" s="54">
        <v>0</v>
      </c>
      <c r="AW152" s="54">
        <v>1</v>
      </c>
      <c r="AX152" s="54">
        <v>1</v>
      </c>
      <c r="AY152" s="54">
        <v>1</v>
      </c>
      <c r="AZ152" s="46">
        <f t="shared" si="36"/>
        <v>9</v>
      </c>
      <c r="BA152" s="46"/>
      <c r="BB152" s="54">
        <v>0</v>
      </c>
      <c r="BC152" s="54">
        <v>0</v>
      </c>
      <c r="BD152" s="54">
        <v>0</v>
      </c>
      <c r="BE152" s="54">
        <v>0</v>
      </c>
      <c r="BF152" s="54">
        <v>0</v>
      </c>
      <c r="BG152" s="54">
        <v>0</v>
      </c>
      <c r="BH152" s="54">
        <v>0</v>
      </c>
      <c r="BI152" s="54">
        <v>0</v>
      </c>
      <c r="BJ152" s="46">
        <f t="shared" si="37"/>
        <v>0</v>
      </c>
      <c r="BK152" s="50"/>
      <c r="BL152" s="54">
        <v>0</v>
      </c>
      <c r="BM152" s="54">
        <v>0</v>
      </c>
      <c r="BN152" s="54">
        <v>0</v>
      </c>
      <c r="BO152" s="54">
        <v>0</v>
      </c>
      <c r="BP152" s="54">
        <v>0</v>
      </c>
      <c r="BQ152" s="54">
        <v>0</v>
      </c>
      <c r="BR152" s="54">
        <v>0</v>
      </c>
      <c r="BS152" s="47">
        <f t="shared" si="38"/>
        <v>0</v>
      </c>
      <c r="BT152" s="46"/>
      <c r="BU152" s="44">
        <f t="shared" si="39"/>
        <v>14</v>
      </c>
      <c r="BV152" s="44">
        <f t="shared" si="40"/>
        <v>9</v>
      </c>
      <c r="BW152" s="44">
        <f t="shared" si="41"/>
        <v>23</v>
      </c>
      <c r="BX152" s="44">
        <f t="shared" si="42"/>
        <v>0</v>
      </c>
      <c r="BY152" s="44">
        <f t="shared" si="43"/>
        <v>0</v>
      </c>
      <c r="BZ152" s="56"/>
      <c r="CA152" s="44">
        <f t="shared" si="44"/>
        <v>23</v>
      </c>
      <c r="CB152" s="56"/>
    </row>
    <row r="153" spans="1:89" s="49" customFormat="1" ht="15.75" customHeight="1" x14ac:dyDescent="0.25">
      <c r="A153" s="40" t="s">
        <v>531</v>
      </c>
      <c r="B153" s="54" t="s">
        <v>475</v>
      </c>
      <c r="C153" s="54">
        <v>-335318</v>
      </c>
      <c r="D153" s="54">
        <v>-70620496</v>
      </c>
      <c r="E153" s="54" t="s">
        <v>587</v>
      </c>
      <c r="F153" s="54">
        <v>-335318</v>
      </c>
      <c r="G153" s="54">
        <v>-70620496</v>
      </c>
      <c r="H153" s="54" t="s">
        <v>285</v>
      </c>
      <c r="I153" s="54">
        <v>0</v>
      </c>
      <c r="J153" s="54">
        <v>0</v>
      </c>
      <c r="K153" s="54">
        <v>0</v>
      </c>
      <c r="L153" s="54">
        <v>0</v>
      </c>
      <c r="M153" s="54">
        <v>0</v>
      </c>
      <c r="N153" s="54">
        <v>0</v>
      </c>
      <c r="O153" s="54">
        <v>0</v>
      </c>
      <c r="P153" s="54">
        <v>0</v>
      </c>
      <c r="Q153" s="54">
        <v>0</v>
      </c>
      <c r="R153" s="54">
        <v>0</v>
      </c>
      <c r="S153" s="54">
        <v>0</v>
      </c>
      <c r="T153" s="54">
        <v>0</v>
      </c>
      <c r="U153" s="54">
        <v>0</v>
      </c>
      <c r="V153" s="54">
        <v>1</v>
      </c>
      <c r="W153" s="54">
        <v>1</v>
      </c>
      <c r="X153" s="54">
        <v>0</v>
      </c>
      <c r="Y153" s="54">
        <v>0</v>
      </c>
      <c r="Z153" s="54">
        <v>0</v>
      </c>
      <c r="AA153" s="54">
        <v>0</v>
      </c>
      <c r="AB153" s="54">
        <v>0</v>
      </c>
      <c r="AC153" s="54">
        <v>0</v>
      </c>
      <c r="AD153" s="54">
        <v>0</v>
      </c>
      <c r="AE153" s="54">
        <v>0</v>
      </c>
      <c r="AF153" s="54">
        <v>0</v>
      </c>
      <c r="AG153" s="54">
        <v>0</v>
      </c>
      <c r="AH153" s="54">
        <v>0</v>
      </c>
      <c r="AI153" s="54">
        <v>0</v>
      </c>
      <c r="AJ153" s="54">
        <v>1</v>
      </c>
      <c r="AK153" s="46">
        <f t="shared" si="35"/>
        <v>3</v>
      </c>
      <c r="AL153" s="46"/>
      <c r="AM153" s="54">
        <v>0</v>
      </c>
      <c r="AN153" s="54">
        <v>0</v>
      </c>
      <c r="AO153" s="54">
        <v>0</v>
      </c>
      <c r="AP153" s="54">
        <v>0</v>
      </c>
      <c r="AQ153" s="54">
        <v>0</v>
      </c>
      <c r="AR153" s="54">
        <v>0</v>
      </c>
      <c r="AS153" s="54">
        <v>0</v>
      </c>
      <c r="AT153" s="54">
        <v>1</v>
      </c>
      <c r="AU153" s="54">
        <v>1</v>
      </c>
      <c r="AV153" s="54">
        <v>0</v>
      </c>
      <c r="AW153" s="54">
        <v>0</v>
      </c>
      <c r="AX153" s="54">
        <v>0</v>
      </c>
      <c r="AY153" s="54">
        <v>0</v>
      </c>
      <c r="AZ153" s="46">
        <f t="shared" si="36"/>
        <v>2</v>
      </c>
      <c r="BA153" s="46"/>
      <c r="BB153" s="54">
        <v>0</v>
      </c>
      <c r="BC153" s="54">
        <v>0</v>
      </c>
      <c r="BD153" s="54">
        <v>0</v>
      </c>
      <c r="BE153" s="54">
        <v>0</v>
      </c>
      <c r="BF153" s="54">
        <v>0</v>
      </c>
      <c r="BG153" s="54">
        <v>0</v>
      </c>
      <c r="BH153" s="54">
        <v>0</v>
      </c>
      <c r="BI153" s="54">
        <v>0</v>
      </c>
      <c r="BJ153" s="46">
        <f t="shared" si="37"/>
        <v>0</v>
      </c>
      <c r="BK153" s="50"/>
      <c r="BL153" s="54">
        <v>0</v>
      </c>
      <c r="BM153" s="54">
        <v>0</v>
      </c>
      <c r="BN153" s="54">
        <v>0</v>
      </c>
      <c r="BO153" s="54">
        <v>0</v>
      </c>
      <c r="BP153" s="54">
        <v>0</v>
      </c>
      <c r="BQ153" s="54">
        <v>0</v>
      </c>
      <c r="BR153" s="54">
        <v>0</v>
      </c>
      <c r="BS153" s="47">
        <f t="shared" si="38"/>
        <v>0</v>
      </c>
      <c r="BT153" s="46"/>
      <c r="BU153" s="44">
        <f t="shared" si="39"/>
        <v>3</v>
      </c>
      <c r="BV153" s="44">
        <f t="shared" si="40"/>
        <v>2</v>
      </c>
      <c r="BW153" s="44">
        <f t="shared" si="41"/>
        <v>5</v>
      </c>
      <c r="BX153" s="44">
        <f t="shared" si="42"/>
        <v>0</v>
      </c>
      <c r="BY153" s="44">
        <f t="shared" si="43"/>
        <v>0</v>
      </c>
      <c r="BZ153" s="56"/>
      <c r="CA153" s="44">
        <f t="shared" si="44"/>
        <v>5</v>
      </c>
      <c r="CB153" s="56"/>
    </row>
    <row r="154" spans="1:89" s="49" customFormat="1" ht="15.75" customHeight="1" x14ac:dyDescent="0.25">
      <c r="A154" s="40" t="s">
        <v>531</v>
      </c>
      <c r="B154" s="54" t="s">
        <v>475</v>
      </c>
      <c r="C154" s="54">
        <v>-33532493</v>
      </c>
      <c r="D154" s="54">
        <v>-7062007</v>
      </c>
      <c r="E154" s="54" t="s">
        <v>588</v>
      </c>
      <c r="F154" s="54">
        <v>-33532493</v>
      </c>
      <c r="G154" s="54">
        <v>-7062007</v>
      </c>
      <c r="H154" s="54" t="s">
        <v>94</v>
      </c>
      <c r="I154" s="54">
        <v>1</v>
      </c>
      <c r="J154" s="54">
        <v>0</v>
      </c>
      <c r="K154" s="54">
        <v>0</v>
      </c>
      <c r="L154" s="54">
        <v>1</v>
      </c>
      <c r="M154" s="54">
        <v>1</v>
      </c>
      <c r="N154" s="54">
        <v>1</v>
      </c>
      <c r="O154" s="54">
        <v>1</v>
      </c>
      <c r="P154" s="54">
        <v>0</v>
      </c>
      <c r="Q154" s="54">
        <v>1</v>
      </c>
      <c r="R154" s="54">
        <v>1</v>
      </c>
      <c r="S154" s="54">
        <v>0</v>
      </c>
      <c r="T154" s="54">
        <v>1</v>
      </c>
      <c r="U154" s="54">
        <v>0</v>
      </c>
      <c r="V154" s="54">
        <v>0</v>
      </c>
      <c r="W154" s="54">
        <v>1</v>
      </c>
      <c r="X154" s="54">
        <v>1</v>
      </c>
      <c r="Y154" s="54">
        <v>0</v>
      </c>
      <c r="Z154" s="54">
        <v>1</v>
      </c>
      <c r="AA154" s="54">
        <v>0</v>
      </c>
      <c r="AB154" s="54">
        <v>0</v>
      </c>
      <c r="AC154" s="54">
        <v>1</v>
      </c>
      <c r="AD154" s="54">
        <v>1</v>
      </c>
      <c r="AE154" s="54">
        <v>0</v>
      </c>
      <c r="AF154" s="54">
        <v>1</v>
      </c>
      <c r="AG154" s="54">
        <v>1</v>
      </c>
      <c r="AH154" s="54">
        <v>1</v>
      </c>
      <c r="AI154" s="54">
        <v>1</v>
      </c>
      <c r="AJ154" s="54">
        <v>1</v>
      </c>
      <c r="AK154" s="46">
        <f t="shared" si="35"/>
        <v>18</v>
      </c>
      <c r="AL154" s="46"/>
      <c r="AM154" s="54">
        <v>1</v>
      </c>
      <c r="AN154" s="54">
        <v>1</v>
      </c>
      <c r="AO154" s="54">
        <v>1</v>
      </c>
      <c r="AP154" s="54">
        <v>1</v>
      </c>
      <c r="AQ154" s="54">
        <v>1</v>
      </c>
      <c r="AR154" s="54">
        <v>1</v>
      </c>
      <c r="AS154" s="54">
        <v>1</v>
      </c>
      <c r="AT154" s="54">
        <v>0</v>
      </c>
      <c r="AU154" s="54">
        <v>0</v>
      </c>
      <c r="AV154" s="54">
        <v>0</v>
      </c>
      <c r="AW154" s="54">
        <v>1</v>
      </c>
      <c r="AX154" s="54">
        <v>1</v>
      </c>
      <c r="AY154" s="54">
        <v>0</v>
      </c>
      <c r="AZ154" s="46">
        <f t="shared" si="36"/>
        <v>9</v>
      </c>
      <c r="BA154" s="46"/>
      <c r="BB154" s="54">
        <v>0</v>
      </c>
      <c r="BC154" s="54">
        <v>1</v>
      </c>
      <c r="BD154" s="54">
        <v>1</v>
      </c>
      <c r="BE154" s="54">
        <v>0</v>
      </c>
      <c r="BF154" s="54">
        <v>1</v>
      </c>
      <c r="BG154" s="54">
        <v>0</v>
      </c>
      <c r="BH154" s="54">
        <v>0</v>
      </c>
      <c r="BI154" s="54">
        <v>1</v>
      </c>
      <c r="BJ154" s="46">
        <f t="shared" si="37"/>
        <v>4</v>
      </c>
      <c r="BK154" s="50"/>
      <c r="BL154" s="54">
        <v>0</v>
      </c>
      <c r="BM154" s="54">
        <v>0</v>
      </c>
      <c r="BN154" s="54">
        <v>0</v>
      </c>
      <c r="BO154" s="54">
        <v>0</v>
      </c>
      <c r="BP154" s="54">
        <v>0</v>
      </c>
      <c r="BQ154" s="54">
        <v>0</v>
      </c>
      <c r="BR154" s="54">
        <v>0</v>
      </c>
      <c r="BS154" s="47">
        <f t="shared" si="38"/>
        <v>0</v>
      </c>
      <c r="BT154" s="46"/>
      <c r="BU154" s="44">
        <f t="shared" si="39"/>
        <v>18</v>
      </c>
      <c r="BV154" s="44">
        <f t="shared" si="40"/>
        <v>9</v>
      </c>
      <c r="BW154" s="44">
        <f t="shared" si="41"/>
        <v>27</v>
      </c>
      <c r="BX154" s="44">
        <f t="shared" si="42"/>
        <v>4</v>
      </c>
      <c r="BY154" s="44">
        <f t="shared" si="43"/>
        <v>0</v>
      </c>
      <c r="BZ154" s="56"/>
      <c r="CA154" s="44">
        <f t="shared" si="44"/>
        <v>31</v>
      </c>
      <c r="CB154" s="56"/>
    </row>
    <row r="155" spans="1:89" s="49" customFormat="1" ht="15.75" customHeight="1" x14ac:dyDescent="0.25">
      <c r="A155" s="40" t="s">
        <v>531</v>
      </c>
      <c r="B155" s="54" t="s">
        <v>475</v>
      </c>
      <c r="C155" s="54">
        <v>-33531744</v>
      </c>
      <c r="D155" s="54">
        <v>-70620029</v>
      </c>
      <c r="E155" s="54" t="s">
        <v>590</v>
      </c>
      <c r="F155" s="54">
        <v>-33531744</v>
      </c>
      <c r="G155" s="54">
        <v>-70620029</v>
      </c>
      <c r="H155" s="54" t="s">
        <v>210</v>
      </c>
      <c r="I155" s="54">
        <v>0</v>
      </c>
      <c r="J155" s="54">
        <v>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54">
        <v>0</v>
      </c>
      <c r="Q155" s="54">
        <v>0</v>
      </c>
      <c r="R155" s="54">
        <v>0</v>
      </c>
      <c r="S155" s="54">
        <v>0</v>
      </c>
      <c r="T155" s="54">
        <v>0</v>
      </c>
      <c r="U155" s="54">
        <v>1</v>
      </c>
      <c r="V155" s="54">
        <v>0</v>
      </c>
      <c r="W155" s="54">
        <v>0</v>
      </c>
      <c r="X155" s="54">
        <v>0</v>
      </c>
      <c r="Y155" s="54">
        <v>0</v>
      </c>
      <c r="Z155" s="54">
        <v>0</v>
      </c>
      <c r="AA155" s="54">
        <v>0</v>
      </c>
      <c r="AB155" s="54">
        <v>0</v>
      </c>
      <c r="AC155" s="54">
        <v>0</v>
      </c>
      <c r="AD155" s="54">
        <v>0</v>
      </c>
      <c r="AE155" s="54">
        <v>0</v>
      </c>
      <c r="AF155" s="54">
        <v>0</v>
      </c>
      <c r="AG155" s="54">
        <v>0</v>
      </c>
      <c r="AH155" s="54">
        <v>0</v>
      </c>
      <c r="AI155" s="54">
        <v>0</v>
      </c>
      <c r="AJ155" s="54">
        <v>0</v>
      </c>
      <c r="AK155" s="46">
        <f t="shared" si="35"/>
        <v>1</v>
      </c>
      <c r="AL155" s="46"/>
      <c r="AM155" s="54">
        <v>0</v>
      </c>
      <c r="AN155" s="54">
        <v>0</v>
      </c>
      <c r="AO155" s="54">
        <v>1</v>
      </c>
      <c r="AP155" s="54">
        <v>0</v>
      </c>
      <c r="AQ155" s="54">
        <v>0</v>
      </c>
      <c r="AR155" s="54">
        <v>0</v>
      </c>
      <c r="AS155" s="54">
        <v>0</v>
      </c>
      <c r="AT155" s="54">
        <v>0</v>
      </c>
      <c r="AU155" s="54">
        <v>0</v>
      </c>
      <c r="AV155" s="54">
        <v>0</v>
      </c>
      <c r="AW155" s="54">
        <v>0</v>
      </c>
      <c r="AX155" s="54">
        <v>0</v>
      </c>
      <c r="AY155" s="54">
        <v>0</v>
      </c>
      <c r="AZ155" s="46">
        <f t="shared" si="36"/>
        <v>1</v>
      </c>
      <c r="BA155" s="46"/>
      <c r="BB155" s="54">
        <v>0</v>
      </c>
      <c r="BC155" s="54">
        <v>0</v>
      </c>
      <c r="BD155" s="54">
        <v>0</v>
      </c>
      <c r="BE155" s="54">
        <v>0</v>
      </c>
      <c r="BF155" s="54">
        <v>0</v>
      </c>
      <c r="BG155" s="54">
        <v>1</v>
      </c>
      <c r="BH155" s="54">
        <v>0</v>
      </c>
      <c r="BI155" s="54">
        <v>0</v>
      </c>
      <c r="BJ155" s="46">
        <f t="shared" si="37"/>
        <v>1</v>
      </c>
      <c r="BK155" s="50"/>
      <c r="BL155" s="54">
        <v>0</v>
      </c>
      <c r="BM155" s="54">
        <v>0</v>
      </c>
      <c r="BN155" s="54">
        <v>0</v>
      </c>
      <c r="BO155" s="54">
        <v>0</v>
      </c>
      <c r="BP155" s="54">
        <v>0</v>
      </c>
      <c r="BQ155" s="54">
        <v>0</v>
      </c>
      <c r="BR155" s="54">
        <v>0</v>
      </c>
      <c r="BS155" s="47">
        <f t="shared" si="38"/>
        <v>0</v>
      </c>
      <c r="BT155" s="46"/>
      <c r="BU155" s="44">
        <f t="shared" si="39"/>
        <v>1</v>
      </c>
      <c r="BV155" s="44">
        <f t="shared" si="40"/>
        <v>1</v>
      </c>
      <c r="BW155" s="44">
        <f t="shared" si="41"/>
        <v>2</v>
      </c>
      <c r="BX155" s="44">
        <f t="shared" si="42"/>
        <v>1</v>
      </c>
      <c r="BY155" s="44">
        <f t="shared" si="43"/>
        <v>0</v>
      </c>
      <c r="BZ155" s="56"/>
      <c r="CA155" s="44">
        <f t="shared" si="44"/>
        <v>3</v>
      </c>
      <c r="CB155" s="56"/>
    </row>
    <row r="156" spans="1:89" s="49" customFormat="1" ht="15.75" customHeight="1" x14ac:dyDescent="0.25">
      <c r="A156" s="40" t="s">
        <v>531</v>
      </c>
      <c r="B156" s="54" t="s">
        <v>475</v>
      </c>
      <c r="C156" s="54">
        <v>-33531744</v>
      </c>
      <c r="D156" s="54">
        <v>-70620029</v>
      </c>
      <c r="E156" s="54" t="s">
        <v>591</v>
      </c>
      <c r="F156" s="54">
        <v>-33531744</v>
      </c>
      <c r="G156" s="54">
        <v>-70620029</v>
      </c>
      <c r="H156" s="54" t="s">
        <v>96</v>
      </c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46">
        <f t="shared" si="35"/>
        <v>0</v>
      </c>
      <c r="AL156" s="46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46">
        <f t="shared" si="36"/>
        <v>0</v>
      </c>
      <c r="BA156" s="46"/>
      <c r="BB156" s="54"/>
      <c r="BC156" s="54"/>
      <c r="BD156" s="54"/>
      <c r="BE156" s="54"/>
      <c r="BF156" s="54"/>
      <c r="BG156" s="54"/>
      <c r="BH156" s="54"/>
      <c r="BI156" s="54"/>
      <c r="BJ156" s="46">
        <f t="shared" si="37"/>
        <v>0</v>
      </c>
      <c r="BK156" s="50"/>
      <c r="BL156" s="54"/>
      <c r="BM156" s="54"/>
      <c r="BN156" s="54"/>
      <c r="BO156" s="54"/>
      <c r="BP156" s="54"/>
      <c r="BQ156" s="54"/>
      <c r="BR156" s="54"/>
      <c r="BS156" s="47">
        <f t="shared" si="38"/>
        <v>0</v>
      </c>
      <c r="BT156" s="46"/>
      <c r="BU156" s="44">
        <f t="shared" si="39"/>
        <v>0</v>
      </c>
      <c r="BV156" s="44">
        <f t="shared" si="40"/>
        <v>0</v>
      </c>
      <c r="BW156" s="44">
        <f t="shared" si="41"/>
        <v>0</v>
      </c>
      <c r="BX156" s="44">
        <f t="shared" si="42"/>
        <v>0</v>
      </c>
      <c r="BY156" s="44">
        <f t="shared" si="43"/>
        <v>0</v>
      </c>
      <c r="BZ156" s="56"/>
      <c r="CA156" s="44">
        <f t="shared" si="44"/>
        <v>0</v>
      </c>
      <c r="CB156" s="56"/>
      <c r="CC156" s="57"/>
      <c r="CD156" s="57"/>
      <c r="CE156" s="57"/>
      <c r="CF156" s="57"/>
      <c r="CG156" s="57"/>
      <c r="CH156" s="57"/>
      <c r="CI156" s="57"/>
      <c r="CJ156" s="57"/>
      <c r="CK156" s="57"/>
    </row>
    <row r="157" spans="1:89" s="49" customFormat="1" ht="15.75" customHeight="1" x14ac:dyDescent="0.25">
      <c r="A157" s="40" t="s">
        <v>531</v>
      </c>
      <c r="B157" s="54" t="s">
        <v>475</v>
      </c>
      <c r="C157" s="54">
        <v>-33530821</v>
      </c>
      <c r="D157" s="54">
        <v>-70619108</v>
      </c>
      <c r="E157" s="54" t="s">
        <v>592</v>
      </c>
      <c r="F157" s="54">
        <v>-33530821</v>
      </c>
      <c r="G157" s="54">
        <v>-70619108</v>
      </c>
      <c r="H157" s="54" t="s">
        <v>96</v>
      </c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46">
        <f t="shared" si="35"/>
        <v>0</v>
      </c>
      <c r="AL157" s="46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46">
        <f t="shared" si="36"/>
        <v>0</v>
      </c>
      <c r="BA157" s="46"/>
      <c r="BB157" s="54"/>
      <c r="BC157" s="54"/>
      <c r="BD157" s="54"/>
      <c r="BE157" s="54"/>
      <c r="BF157" s="54"/>
      <c r="BG157" s="54"/>
      <c r="BH157" s="54"/>
      <c r="BI157" s="54"/>
      <c r="BJ157" s="46">
        <f t="shared" si="37"/>
        <v>0</v>
      </c>
      <c r="BK157" s="50"/>
      <c r="BL157" s="54"/>
      <c r="BM157" s="54"/>
      <c r="BN157" s="54"/>
      <c r="BO157" s="54"/>
      <c r="BP157" s="54"/>
      <c r="BQ157" s="54"/>
      <c r="BR157" s="54"/>
      <c r="BS157" s="47">
        <f t="shared" si="38"/>
        <v>0</v>
      </c>
      <c r="BT157" s="46"/>
      <c r="BU157" s="44">
        <f t="shared" si="39"/>
        <v>0</v>
      </c>
      <c r="BV157" s="44">
        <f t="shared" si="40"/>
        <v>0</v>
      </c>
      <c r="BW157" s="44">
        <f t="shared" si="41"/>
        <v>0</v>
      </c>
      <c r="BX157" s="44">
        <f t="shared" si="42"/>
        <v>0</v>
      </c>
      <c r="BY157" s="44">
        <f t="shared" si="43"/>
        <v>0</v>
      </c>
      <c r="BZ157" s="56"/>
      <c r="CA157" s="44">
        <f t="shared" si="44"/>
        <v>0</v>
      </c>
      <c r="CB157" s="56"/>
    </row>
    <row r="158" spans="1:89" s="49" customFormat="1" ht="15.75" customHeight="1" x14ac:dyDescent="0.25">
      <c r="A158" s="40" t="s">
        <v>531</v>
      </c>
      <c r="B158" s="54" t="s">
        <v>475</v>
      </c>
      <c r="C158" s="54">
        <v>-33528607</v>
      </c>
      <c r="D158" s="54">
        <v>-70624138</v>
      </c>
      <c r="E158" s="54" t="s">
        <v>596</v>
      </c>
      <c r="F158" s="54">
        <v>-33528607</v>
      </c>
      <c r="G158" s="54">
        <v>-70624138</v>
      </c>
      <c r="H158" s="54" t="s">
        <v>597</v>
      </c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46">
        <f t="shared" si="35"/>
        <v>0</v>
      </c>
      <c r="AL158" s="46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46">
        <f t="shared" si="36"/>
        <v>0</v>
      </c>
      <c r="BA158" s="46"/>
      <c r="BB158" s="54"/>
      <c r="BC158" s="54"/>
      <c r="BD158" s="54"/>
      <c r="BE158" s="54"/>
      <c r="BF158" s="54"/>
      <c r="BG158" s="54"/>
      <c r="BH158" s="54"/>
      <c r="BI158" s="54"/>
      <c r="BJ158" s="46">
        <f t="shared" si="37"/>
        <v>0</v>
      </c>
      <c r="BK158" s="50"/>
      <c r="BL158" s="54"/>
      <c r="BM158" s="54"/>
      <c r="BN158" s="54"/>
      <c r="BO158" s="54"/>
      <c r="BP158" s="54"/>
      <c r="BQ158" s="54"/>
      <c r="BR158" s="54"/>
      <c r="BS158" s="47">
        <f t="shared" si="38"/>
        <v>0</v>
      </c>
      <c r="BT158" s="46"/>
      <c r="BU158" s="44">
        <f t="shared" si="39"/>
        <v>0</v>
      </c>
      <c r="BV158" s="44">
        <f t="shared" si="40"/>
        <v>0</v>
      </c>
      <c r="BW158" s="44">
        <f t="shared" si="41"/>
        <v>0</v>
      </c>
      <c r="BX158" s="44">
        <f t="shared" si="42"/>
        <v>0</v>
      </c>
      <c r="BY158" s="44">
        <f t="shared" si="43"/>
        <v>0</v>
      </c>
      <c r="BZ158" s="56"/>
      <c r="CA158" s="44">
        <f t="shared" si="44"/>
        <v>0</v>
      </c>
      <c r="CB158" s="56"/>
    </row>
    <row r="159" spans="1:89" s="49" customFormat="1" ht="15.75" customHeight="1" x14ac:dyDescent="0.25">
      <c r="A159" s="40" t="s">
        <v>531</v>
      </c>
      <c r="B159" s="54" t="s">
        <v>475</v>
      </c>
      <c r="C159" s="54">
        <v>-335270974</v>
      </c>
      <c r="D159" s="54">
        <v>-70618345</v>
      </c>
      <c r="E159" s="54" t="s">
        <v>598</v>
      </c>
      <c r="F159" s="54">
        <v>-335270974</v>
      </c>
      <c r="G159" s="54">
        <v>-70618345</v>
      </c>
      <c r="H159" s="54" t="s">
        <v>94</v>
      </c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46">
        <f t="shared" si="35"/>
        <v>0</v>
      </c>
      <c r="AL159" s="46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46">
        <f t="shared" si="36"/>
        <v>0</v>
      </c>
      <c r="BA159" s="46"/>
      <c r="BB159" s="54"/>
      <c r="BC159" s="54"/>
      <c r="BD159" s="54"/>
      <c r="BE159" s="54"/>
      <c r="BF159" s="54"/>
      <c r="BG159" s="54"/>
      <c r="BH159" s="54"/>
      <c r="BI159" s="54"/>
      <c r="BJ159" s="46">
        <f t="shared" si="37"/>
        <v>0</v>
      </c>
      <c r="BK159" s="50"/>
      <c r="BL159" s="54"/>
      <c r="BM159" s="54"/>
      <c r="BN159" s="54"/>
      <c r="BO159" s="54"/>
      <c r="BP159" s="54"/>
      <c r="BQ159" s="54"/>
      <c r="BR159" s="54"/>
      <c r="BS159" s="47">
        <f t="shared" si="38"/>
        <v>0</v>
      </c>
      <c r="BT159" s="46"/>
      <c r="BU159" s="44">
        <f t="shared" si="39"/>
        <v>0</v>
      </c>
      <c r="BV159" s="44">
        <f t="shared" si="40"/>
        <v>0</v>
      </c>
      <c r="BW159" s="44">
        <f t="shared" si="41"/>
        <v>0</v>
      </c>
      <c r="BX159" s="44">
        <f t="shared" si="42"/>
        <v>0</v>
      </c>
      <c r="BY159" s="44">
        <f t="shared" si="43"/>
        <v>0</v>
      </c>
      <c r="BZ159" s="56"/>
      <c r="CA159" s="44">
        <f t="shared" si="44"/>
        <v>0</v>
      </c>
      <c r="CB159" s="56"/>
    </row>
    <row r="160" spans="1:89" s="49" customFormat="1" ht="15.75" customHeight="1" x14ac:dyDescent="0.25">
      <c r="A160" s="40" t="s">
        <v>531</v>
      </c>
      <c r="B160" s="54" t="s">
        <v>475</v>
      </c>
      <c r="C160" s="54">
        <v>-33528901</v>
      </c>
      <c r="D160" s="54">
        <v>-70616864</v>
      </c>
      <c r="E160" s="54" t="s">
        <v>599</v>
      </c>
      <c r="F160" s="54">
        <v>-33528901</v>
      </c>
      <c r="G160" s="54">
        <v>-70616864</v>
      </c>
      <c r="H160" s="54" t="s">
        <v>94</v>
      </c>
      <c r="I160" s="54">
        <v>0</v>
      </c>
      <c r="J160" s="54">
        <v>0</v>
      </c>
      <c r="K160" s="54">
        <v>0</v>
      </c>
      <c r="L160" s="54">
        <v>1</v>
      </c>
      <c r="M160" s="54">
        <v>0</v>
      </c>
      <c r="N160" s="54">
        <v>1</v>
      </c>
      <c r="O160" s="54">
        <v>1</v>
      </c>
      <c r="P160" s="54">
        <v>0</v>
      </c>
      <c r="Q160" s="54">
        <v>1</v>
      </c>
      <c r="R160" s="54">
        <v>0</v>
      </c>
      <c r="S160" s="54">
        <v>0</v>
      </c>
      <c r="T160" s="54">
        <v>1</v>
      </c>
      <c r="U160" s="54">
        <v>0</v>
      </c>
      <c r="V160" s="54">
        <v>0</v>
      </c>
      <c r="W160" s="54">
        <v>0</v>
      </c>
      <c r="X160" s="54">
        <v>0</v>
      </c>
      <c r="Y160" s="54">
        <v>1</v>
      </c>
      <c r="Z160" s="54">
        <v>1</v>
      </c>
      <c r="AA160" s="54">
        <v>1</v>
      </c>
      <c r="AB160" s="54">
        <v>0</v>
      </c>
      <c r="AC160" s="54">
        <v>1</v>
      </c>
      <c r="AD160" s="54">
        <v>1</v>
      </c>
      <c r="AE160" s="54">
        <v>0</v>
      </c>
      <c r="AF160" s="54">
        <v>1</v>
      </c>
      <c r="AG160" s="54">
        <v>1</v>
      </c>
      <c r="AH160" s="54">
        <v>1</v>
      </c>
      <c r="AI160" s="54">
        <v>1</v>
      </c>
      <c r="AJ160" s="54">
        <v>1</v>
      </c>
      <c r="AK160" s="46">
        <f t="shared" si="35"/>
        <v>15</v>
      </c>
      <c r="AL160" s="46"/>
      <c r="AM160" s="54">
        <v>1</v>
      </c>
      <c r="AN160" s="54">
        <v>1</v>
      </c>
      <c r="AO160" s="54">
        <v>1</v>
      </c>
      <c r="AP160" s="54">
        <v>1</v>
      </c>
      <c r="AQ160" s="54">
        <v>1</v>
      </c>
      <c r="AR160" s="54">
        <v>1</v>
      </c>
      <c r="AS160" s="54">
        <v>1</v>
      </c>
      <c r="AT160" s="54">
        <v>0</v>
      </c>
      <c r="AU160" s="54">
        <v>0</v>
      </c>
      <c r="AV160" s="54">
        <v>0</v>
      </c>
      <c r="AW160" s="54">
        <v>1</v>
      </c>
      <c r="AX160" s="54">
        <v>1</v>
      </c>
      <c r="AY160" s="54">
        <v>1</v>
      </c>
      <c r="AZ160" s="46">
        <f t="shared" si="36"/>
        <v>10</v>
      </c>
      <c r="BA160" s="46"/>
      <c r="BB160" s="54">
        <v>0</v>
      </c>
      <c r="BC160" s="54">
        <v>0</v>
      </c>
      <c r="BD160" s="54">
        <v>0</v>
      </c>
      <c r="BE160" s="54">
        <v>0</v>
      </c>
      <c r="BF160" s="54">
        <v>0</v>
      </c>
      <c r="BG160" s="54">
        <v>0</v>
      </c>
      <c r="BH160" s="54">
        <v>0</v>
      </c>
      <c r="BI160" s="54">
        <v>0</v>
      </c>
      <c r="BJ160" s="46">
        <f t="shared" si="37"/>
        <v>0</v>
      </c>
      <c r="BK160" s="50"/>
      <c r="BL160" s="54">
        <v>0</v>
      </c>
      <c r="BM160" s="54">
        <v>0</v>
      </c>
      <c r="BN160" s="54">
        <v>0</v>
      </c>
      <c r="BO160" s="54">
        <v>0</v>
      </c>
      <c r="BP160" s="54">
        <v>0</v>
      </c>
      <c r="BQ160" s="54">
        <v>0</v>
      </c>
      <c r="BR160" s="54">
        <v>0</v>
      </c>
      <c r="BS160" s="47">
        <f t="shared" si="38"/>
        <v>0</v>
      </c>
      <c r="BT160" s="46"/>
      <c r="BU160" s="44">
        <f t="shared" si="39"/>
        <v>15</v>
      </c>
      <c r="BV160" s="44">
        <f t="shared" si="40"/>
        <v>10</v>
      </c>
      <c r="BW160" s="44">
        <f t="shared" si="41"/>
        <v>25</v>
      </c>
      <c r="BX160" s="44">
        <f t="shared" si="42"/>
        <v>0</v>
      </c>
      <c r="BY160" s="44">
        <f t="shared" si="43"/>
        <v>0</v>
      </c>
      <c r="BZ160" s="56"/>
      <c r="CA160" s="44">
        <f t="shared" si="44"/>
        <v>25</v>
      </c>
      <c r="CB160" s="56"/>
    </row>
    <row r="161" spans="1:89" s="49" customFormat="1" ht="15.75" customHeight="1" x14ac:dyDescent="0.25">
      <c r="A161" s="40" t="s">
        <v>531</v>
      </c>
      <c r="B161" s="54" t="s">
        <v>475</v>
      </c>
      <c r="C161" s="54">
        <v>-33529552</v>
      </c>
      <c r="D161" s="54">
        <v>-70618623</v>
      </c>
      <c r="E161" s="54" t="s">
        <v>600</v>
      </c>
      <c r="F161" s="54">
        <v>-33529552</v>
      </c>
      <c r="G161" s="54">
        <v>-70618623</v>
      </c>
      <c r="H161" s="54" t="s">
        <v>94</v>
      </c>
      <c r="I161" s="54">
        <v>0</v>
      </c>
      <c r="J161" s="54">
        <v>0</v>
      </c>
      <c r="K161" s="54">
        <v>0</v>
      </c>
      <c r="L161" s="54">
        <v>0</v>
      </c>
      <c r="M161" s="54">
        <v>0</v>
      </c>
      <c r="N161" s="54">
        <v>1</v>
      </c>
      <c r="O161" s="54">
        <v>0</v>
      </c>
      <c r="P161" s="54">
        <v>0</v>
      </c>
      <c r="Q161" s="54">
        <v>0</v>
      </c>
      <c r="R161" s="54">
        <v>0</v>
      </c>
      <c r="S161" s="54">
        <v>0</v>
      </c>
      <c r="T161" s="54">
        <v>1</v>
      </c>
      <c r="U161" s="54">
        <v>0</v>
      </c>
      <c r="V161" s="54">
        <v>0</v>
      </c>
      <c r="W161" s="54">
        <v>0</v>
      </c>
      <c r="X161" s="54">
        <v>1</v>
      </c>
      <c r="Y161" s="54">
        <v>0</v>
      </c>
      <c r="Z161" s="54">
        <v>0</v>
      </c>
      <c r="AA161" s="54">
        <v>0</v>
      </c>
      <c r="AB161" s="54">
        <v>0</v>
      </c>
      <c r="AC161" s="54">
        <v>1</v>
      </c>
      <c r="AD161" s="54">
        <v>1</v>
      </c>
      <c r="AE161" s="54">
        <v>0</v>
      </c>
      <c r="AF161" s="54">
        <v>1</v>
      </c>
      <c r="AG161" s="54">
        <v>1</v>
      </c>
      <c r="AH161" s="54">
        <v>1</v>
      </c>
      <c r="AI161" s="54">
        <v>1</v>
      </c>
      <c r="AJ161" s="54">
        <v>1</v>
      </c>
      <c r="AK161" s="46">
        <f t="shared" si="35"/>
        <v>10</v>
      </c>
      <c r="AL161" s="46"/>
      <c r="AM161" s="54">
        <v>1</v>
      </c>
      <c r="AN161" s="54">
        <v>1</v>
      </c>
      <c r="AO161" s="54">
        <v>1</v>
      </c>
      <c r="AP161" s="54">
        <v>1</v>
      </c>
      <c r="AQ161" s="54">
        <v>1</v>
      </c>
      <c r="AR161" s="54">
        <v>0</v>
      </c>
      <c r="AS161" s="54">
        <v>0</v>
      </c>
      <c r="AT161" s="54">
        <v>1</v>
      </c>
      <c r="AU161" s="54">
        <v>1</v>
      </c>
      <c r="AV161" s="54">
        <v>0</v>
      </c>
      <c r="AW161" s="54">
        <v>1</v>
      </c>
      <c r="AX161" s="54">
        <v>1</v>
      </c>
      <c r="AY161" s="54">
        <v>1</v>
      </c>
      <c r="AZ161" s="46">
        <f t="shared" si="36"/>
        <v>10</v>
      </c>
      <c r="BA161" s="46"/>
      <c r="BB161" s="54">
        <v>0</v>
      </c>
      <c r="BC161" s="54">
        <v>0</v>
      </c>
      <c r="BD161" s="54">
        <v>0</v>
      </c>
      <c r="BE161" s="54">
        <v>0</v>
      </c>
      <c r="BF161" s="54">
        <v>0</v>
      </c>
      <c r="BG161" s="54">
        <v>0</v>
      </c>
      <c r="BH161" s="54">
        <v>0</v>
      </c>
      <c r="BI161" s="54">
        <v>0</v>
      </c>
      <c r="BJ161" s="46">
        <f t="shared" si="37"/>
        <v>0</v>
      </c>
      <c r="BK161" s="50"/>
      <c r="BL161" s="54">
        <v>0</v>
      </c>
      <c r="BM161" s="54">
        <v>0</v>
      </c>
      <c r="BN161" s="54">
        <v>0</v>
      </c>
      <c r="BO161" s="54">
        <v>0</v>
      </c>
      <c r="BP161" s="54">
        <v>0</v>
      </c>
      <c r="BQ161" s="54">
        <v>0</v>
      </c>
      <c r="BR161" s="54">
        <v>0</v>
      </c>
      <c r="BS161" s="47">
        <f t="shared" si="38"/>
        <v>0</v>
      </c>
      <c r="BT161" s="46"/>
      <c r="BU161" s="44">
        <f t="shared" si="39"/>
        <v>10</v>
      </c>
      <c r="BV161" s="44">
        <f t="shared" si="40"/>
        <v>10</v>
      </c>
      <c r="BW161" s="44">
        <f t="shared" si="41"/>
        <v>20</v>
      </c>
      <c r="BX161" s="44">
        <f t="shared" si="42"/>
        <v>0</v>
      </c>
      <c r="BY161" s="44">
        <f t="shared" si="43"/>
        <v>0</v>
      </c>
      <c r="BZ161" s="56"/>
      <c r="CA161" s="44">
        <f t="shared" si="44"/>
        <v>20</v>
      </c>
      <c r="CB161" s="56"/>
    </row>
    <row r="162" spans="1:89" s="49" customFormat="1" ht="15.75" customHeight="1" x14ac:dyDescent="0.25">
      <c r="A162" s="40" t="s">
        <v>531</v>
      </c>
      <c r="B162" s="54" t="s">
        <v>475</v>
      </c>
      <c r="C162" s="54">
        <v>-33527448</v>
      </c>
      <c r="D162" s="54">
        <v>-70624948</v>
      </c>
      <c r="E162" s="54" t="s">
        <v>601</v>
      </c>
      <c r="F162" s="54">
        <v>-33527448</v>
      </c>
      <c r="G162" s="54">
        <v>-70624948</v>
      </c>
      <c r="H162" s="54" t="s">
        <v>94</v>
      </c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46">
        <f t="shared" si="35"/>
        <v>0</v>
      </c>
      <c r="AL162" s="46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46">
        <f t="shared" si="36"/>
        <v>0</v>
      </c>
      <c r="BA162" s="46"/>
      <c r="BB162" s="54"/>
      <c r="BC162" s="54"/>
      <c r="BD162" s="54"/>
      <c r="BE162" s="54"/>
      <c r="BF162" s="54"/>
      <c r="BG162" s="54"/>
      <c r="BH162" s="54"/>
      <c r="BI162" s="54"/>
      <c r="BJ162" s="46">
        <f t="shared" si="37"/>
        <v>0</v>
      </c>
      <c r="BK162" s="50"/>
      <c r="BL162" s="54"/>
      <c r="BM162" s="54"/>
      <c r="BN162" s="54"/>
      <c r="BO162" s="54"/>
      <c r="BP162" s="54"/>
      <c r="BQ162" s="54"/>
      <c r="BR162" s="54"/>
      <c r="BS162" s="47">
        <f t="shared" si="38"/>
        <v>0</v>
      </c>
      <c r="BT162" s="46"/>
      <c r="BU162" s="44">
        <f t="shared" si="39"/>
        <v>0</v>
      </c>
      <c r="BV162" s="44">
        <f t="shared" si="40"/>
        <v>0</v>
      </c>
      <c r="BW162" s="44">
        <f t="shared" si="41"/>
        <v>0</v>
      </c>
      <c r="BX162" s="44">
        <f t="shared" si="42"/>
        <v>0</v>
      </c>
      <c r="BY162" s="44">
        <f t="shared" si="43"/>
        <v>0</v>
      </c>
      <c r="BZ162" s="56"/>
      <c r="CA162" s="44">
        <f t="shared" si="44"/>
        <v>0</v>
      </c>
      <c r="CB162" s="56"/>
      <c r="CC162" s="57"/>
      <c r="CD162" s="57"/>
      <c r="CE162" s="57"/>
      <c r="CF162" s="57"/>
      <c r="CG162" s="57"/>
      <c r="CH162" s="57"/>
      <c r="CI162" s="57"/>
      <c r="CJ162" s="57"/>
      <c r="CK162" s="57"/>
    </row>
    <row r="163" spans="1:89" s="49" customFormat="1" ht="15.75" customHeight="1" x14ac:dyDescent="0.25">
      <c r="A163" s="40" t="s">
        <v>531</v>
      </c>
      <c r="B163" s="54" t="s">
        <v>475</v>
      </c>
      <c r="C163" s="54">
        <v>-33526492</v>
      </c>
      <c r="D163" s="54">
        <v>-70623273</v>
      </c>
      <c r="E163" s="54" t="s">
        <v>602</v>
      </c>
      <c r="F163" s="54">
        <v>-33526492</v>
      </c>
      <c r="G163" s="54">
        <v>-70623273</v>
      </c>
      <c r="H163" s="54" t="s">
        <v>94</v>
      </c>
      <c r="I163" s="54">
        <v>0</v>
      </c>
      <c r="J163" s="54">
        <v>0</v>
      </c>
      <c r="K163" s="54">
        <v>0</v>
      </c>
      <c r="L163" s="54">
        <v>0</v>
      </c>
      <c r="M163" s="54">
        <v>0</v>
      </c>
      <c r="N163" s="54">
        <v>1</v>
      </c>
      <c r="O163" s="54">
        <v>1</v>
      </c>
      <c r="P163" s="54">
        <v>0</v>
      </c>
      <c r="Q163" s="54">
        <v>1</v>
      </c>
      <c r="R163" s="54">
        <v>0</v>
      </c>
      <c r="S163" s="54">
        <v>0</v>
      </c>
      <c r="T163" s="54">
        <v>0</v>
      </c>
      <c r="U163" s="54">
        <v>0</v>
      </c>
      <c r="V163" s="54">
        <v>0</v>
      </c>
      <c r="W163" s="54">
        <v>0</v>
      </c>
      <c r="X163" s="54">
        <v>1</v>
      </c>
      <c r="Y163" s="54">
        <v>0</v>
      </c>
      <c r="Z163" s="54">
        <v>1</v>
      </c>
      <c r="AA163" s="54">
        <v>0</v>
      </c>
      <c r="AB163" s="54">
        <v>1</v>
      </c>
      <c r="AC163" s="54">
        <v>1</v>
      </c>
      <c r="AD163" s="54">
        <v>1</v>
      </c>
      <c r="AE163" s="54">
        <v>0</v>
      </c>
      <c r="AF163" s="54">
        <v>1</v>
      </c>
      <c r="AG163" s="54">
        <v>1</v>
      </c>
      <c r="AH163" s="54">
        <v>0</v>
      </c>
      <c r="AI163" s="54">
        <v>0</v>
      </c>
      <c r="AJ163" s="54">
        <v>0</v>
      </c>
      <c r="AK163" s="46">
        <f t="shared" si="35"/>
        <v>10</v>
      </c>
      <c r="AL163" s="46"/>
      <c r="AM163" s="54">
        <v>1</v>
      </c>
      <c r="AN163" s="54">
        <v>0</v>
      </c>
      <c r="AO163" s="54">
        <v>1</v>
      </c>
      <c r="AP163" s="54">
        <v>1</v>
      </c>
      <c r="AQ163" s="54">
        <v>1</v>
      </c>
      <c r="AR163" s="54">
        <v>0</v>
      </c>
      <c r="AS163" s="54">
        <v>0</v>
      </c>
      <c r="AT163" s="54">
        <v>1</v>
      </c>
      <c r="AU163" s="54">
        <v>1</v>
      </c>
      <c r="AV163" s="54">
        <v>0</v>
      </c>
      <c r="AW163" s="54">
        <v>1</v>
      </c>
      <c r="AX163" s="54">
        <v>1</v>
      </c>
      <c r="AY163" s="54">
        <v>0</v>
      </c>
      <c r="AZ163" s="46">
        <f t="shared" si="36"/>
        <v>8</v>
      </c>
      <c r="BA163" s="46"/>
      <c r="BB163" s="54">
        <v>0</v>
      </c>
      <c r="BC163" s="54">
        <v>0</v>
      </c>
      <c r="BD163" s="54">
        <v>0</v>
      </c>
      <c r="BE163" s="54">
        <v>0</v>
      </c>
      <c r="BF163" s="54">
        <v>0</v>
      </c>
      <c r="BG163" s="54">
        <v>0</v>
      </c>
      <c r="BH163" s="54">
        <v>0</v>
      </c>
      <c r="BI163" s="54">
        <v>0</v>
      </c>
      <c r="BJ163" s="46">
        <f t="shared" si="37"/>
        <v>0</v>
      </c>
      <c r="BK163" s="50"/>
      <c r="BL163" s="54">
        <v>0</v>
      </c>
      <c r="BM163" s="54">
        <v>0</v>
      </c>
      <c r="BN163" s="54">
        <v>0</v>
      </c>
      <c r="BO163" s="54">
        <v>0</v>
      </c>
      <c r="BP163" s="54">
        <v>0</v>
      </c>
      <c r="BQ163" s="54">
        <v>0</v>
      </c>
      <c r="BR163" s="54">
        <v>0</v>
      </c>
      <c r="BS163" s="47">
        <f t="shared" si="38"/>
        <v>0</v>
      </c>
      <c r="BT163" s="46"/>
      <c r="BU163" s="44">
        <f t="shared" si="39"/>
        <v>10</v>
      </c>
      <c r="BV163" s="44">
        <f t="shared" si="40"/>
        <v>8</v>
      </c>
      <c r="BW163" s="44">
        <f t="shared" si="41"/>
        <v>18</v>
      </c>
      <c r="BX163" s="44">
        <f t="shared" si="42"/>
        <v>0</v>
      </c>
      <c r="BY163" s="44">
        <f t="shared" si="43"/>
        <v>0</v>
      </c>
      <c r="BZ163" s="56"/>
      <c r="CA163" s="44">
        <f t="shared" si="44"/>
        <v>18</v>
      </c>
      <c r="CB163" s="56"/>
    </row>
    <row r="164" spans="1:89" s="49" customFormat="1" ht="15.75" customHeight="1" x14ac:dyDescent="0.25">
      <c r="A164" s="40" t="s">
        <v>531</v>
      </c>
      <c r="B164" s="54" t="s">
        <v>475</v>
      </c>
      <c r="C164" s="54">
        <v>-33526525</v>
      </c>
      <c r="D164" s="54">
        <v>-70623362</v>
      </c>
      <c r="E164" s="54" t="s">
        <v>603</v>
      </c>
      <c r="F164" s="54">
        <v>-33526525</v>
      </c>
      <c r="G164" s="54">
        <v>-70623362</v>
      </c>
      <c r="H164" s="54" t="s">
        <v>94</v>
      </c>
      <c r="I164" s="54">
        <v>0</v>
      </c>
      <c r="J164" s="54">
        <v>0</v>
      </c>
      <c r="K164" s="54">
        <v>0</v>
      </c>
      <c r="L164" s="54">
        <v>0</v>
      </c>
      <c r="M164" s="54">
        <v>0</v>
      </c>
      <c r="N164" s="54">
        <v>1</v>
      </c>
      <c r="O164" s="54">
        <v>1</v>
      </c>
      <c r="P164" s="54">
        <v>0</v>
      </c>
      <c r="Q164" s="54">
        <v>1</v>
      </c>
      <c r="R164" s="54">
        <v>0</v>
      </c>
      <c r="S164" s="54">
        <v>0</v>
      </c>
      <c r="T164" s="54">
        <v>1</v>
      </c>
      <c r="U164" s="54">
        <v>1</v>
      </c>
      <c r="V164" s="54">
        <v>0</v>
      </c>
      <c r="W164" s="54">
        <v>1</v>
      </c>
      <c r="X164" s="54">
        <v>1</v>
      </c>
      <c r="Y164" s="54">
        <v>0</v>
      </c>
      <c r="Z164" s="54">
        <v>1</v>
      </c>
      <c r="AA164" s="54">
        <v>1</v>
      </c>
      <c r="AB164" s="54">
        <v>0</v>
      </c>
      <c r="AC164" s="54">
        <v>1</v>
      </c>
      <c r="AD164" s="54">
        <v>1</v>
      </c>
      <c r="AE164" s="54">
        <v>0</v>
      </c>
      <c r="AF164" s="54">
        <v>1</v>
      </c>
      <c r="AG164" s="54">
        <v>1</v>
      </c>
      <c r="AH164" s="54">
        <v>1</v>
      </c>
      <c r="AI164" s="54">
        <v>1</v>
      </c>
      <c r="AJ164" s="54">
        <v>1</v>
      </c>
      <c r="AK164" s="46">
        <f t="shared" si="35"/>
        <v>16</v>
      </c>
      <c r="AL164" s="46"/>
      <c r="AM164" s="54">
        <v>1</v>
      </c>
      <c r="AN164" s="54">
        <v>1</v>
      </c>
      <c r="AO164" s="54">
        <v>1</v>
      </c>
      <c r="AP164" s="54">
        <v>1</v>
      </c>
      <c r="AQ164" s="54">
        <v>1</v>
      </c>
      <c r="AR164" s="54">
        <v>0</v>
      </c>
      <c r="AS164" s="54">
        <v>1</v>
      </c>
      <c r="AT164" s="54">
        <v>0</v>
      </c>
      <c r="AU164" s="54">
        <v>0</v>
      </c>
      <c r="AV164" s="54">
        <v>0</v>
      </c>
      <c r="AW164" s="54">
        <v>1</v>
      </c>
      <c r="AX164" s="54">
        <v>1</v>
      </c>
      <c r="AY164" s="54">
        <v>1</v>
      </c>
      <c r="AZ164" s="46">
        <f t="shared" si="36"/>
        <v>9</v>
      </c>
      <c r="BA164" s="46"/>
      <c r="BB164" s="54">
        <v>0</v>
      </c>
      <c r="BC164" s="54">
        <v>0</v>
      </c>
      <c r="BD164" s="54">
        <v>1</v>
      </c>
      <c r="BE164" s="54">
        <v>0</v>
      </c>
      <c r="BF164" s="54">
        <v>0</v>
      </c>
      <c r="BG164" s="54">
        <v>0</v>
      </c>
      <c r="BH164" s="54">
        <v>0</v>
      </c>
      <c r="BI164" s="54">
        <v>1</v>
      </c>
      <c r="BJ164" s="46">
        <f t="shared" si="37"/>
        <v>2</v>
      </c>
      <c r="BK164" s="50"/>
      <c r="BL164" s="54">
        <v>0</v>
      </c>
      <c r="BM164" s="54">
        <v>0</v>
      </c>
      <c r="BN164" s="54">
        <v>0</v>
      </c>
      <c r="BO164" s="54">
        <v>1</v>
      </c>
      <c r="BP164" s="54">
        <v>0</v>
      </c>
      <c r="BQ164" s="54">
        <v>0</v>
      </c>
      <c r="BR164" s="54">
        <v>0</v>
      </c>
      <c r="BS164" s="47">
        <f t="shared" si="38"/>
        <v>1</v>
      </c>
      <c r="BT164" s="46"/>
      <c r="BU164" s="44">
        <f t="shared" si="39"/>
        <v>16</v>
      </c>
      <c r="BV164" s="44">
        <f t="shared" si="40"/>
        <v>9</v>
      </c>
      <c r="BW164" s="44">
        <f t="shared" si="41"/>
        <v>25</v>
      </c>
      <c r="BX164" s="44">
        <f t="shared" si="42"/>
        <v>2</v>
      </c>
      <c r="BY164" s="44">
        <f t="shared" si="43"/>
        <v>1</v>
      </c>
      <c r="BZ164" s="56"/>
      <c r="CA164" s="44">
        <f t="shared" si="44"/>
        <v>28</v>
      </c>
      <c r="CB164" s="56"/>
      <c r="CC164" s="57"/>
      <c r="CD164" s="57"/>
      <c r="CE164" s="57"/>
      <c r="CF164" s="57"/>
      <c r="CG164" s="57"/>
      <c r="CH164" s="57"/>
      <c r="CI164" s="57"/>
      <c r="CJ164" s="57"/>
      <c r="CK164" s="57"/>
    </row>
    <row r="165" spans="1:89" s="49" customFormat="1" ht="15.75" customHeight="1" x14ac:dyDescent="0.25">
      <c r="A165" s="40" t="s">
        <v>531</v>
      </c>
      <c r="B165" s="54" t="s">
        <v>475</v>
      </c>
      <c r="C165" s="54">
        <v>-33526553</v>
      </c>
      <c r="D165" s="54">
        <v>-7062194</v>
      </c>
      <c r="E165" s="54" t="s">
        <v>604</v>
      </c>
      <c r="F165" s="54">
        <v>-33526553</v>
      </c>
      <c r="G165" s="54">
        <v>-7062194</v>
      </c>
      <c r="H165" s="54" t="s">
        <v>94</v>
      </c>
      <c r="I165" s="54">
        <v>1</v>
      </c>
      <c r="J165" s="54">
        <v>0</v>
      </c>
      <c r="K165" s="54">
        <v>0</v>
      </c>
      <c r="L165" s="54">
        <v>0</v>
      </c>
      <c r="M165" s="54">
        <v>0</v>
      </c>
      <c r="N165" s="54">
        <v>1</v>
      </c>
      <c r="O165" s="54">
        <v>1</v>
      </c>
      <c r="P165" s="54">
        <v>0</v>
      </c>
      <c r="Q165" s="54">
        <v>1</v>
      </c>
      <c r="R165" s="54">
        <v>0</v>
      </c>
      <c r="S165" s="54">
        <v>0</v>
      </c>
      <c r="T165" s="54">
        <v>1</v>
      </c>
      <c r="U165" s="54">
        <v>0</v>
      </c>
      <c r="V165" s="54">
        <v>0</v>
      </c>
      <c r="W165" s="54">
        <v>0</v>
      </c>
      <c r="X165" s="54">
        <v>1</v>
      </c>
      <c r="Y165" s="54">
        <v>0</v>
      </c>
      <c r="Z165" s="54">
        <v>1</v>
      </c>
      <c r="AA165" s="54">
        <v>0</v>
      </c>
      <c r="AB165" s="54">
        <v>0</v>
      </c>
      <c r="AC165" s="54">
        <v>1</v>
      </c>
      <c r="AD165" s="54">
        <v>1</v>
      </c>
      <c r="AE165" s="54">
        <v>0</v>
      </c>
      <c r="AF165" s="54">
        <v>1</v>
      </c>
      <c r="AG165" s="54">
        <v>1</v>
      </c>
      <c r="AH165" s="54">
        <v>1</v>
      </c>
      <c r="AI165" s="54">
        <v>1</v>
      </c>
      <c r="AJ165" s="54">
        <v>1</v>
      </c>
      <c r="AK165" s="46">
        <f t="shared" si="35"/>
        <v>14</v>
      </c>
      <c r="AL165" s="46"/>
      <c r="AM165" s="54">
        <v>1</v>
      </c>
      <c r="AN165" s="54">
        <v>1</v>
      </c>
      <c r="AO165" s="54">
        <v>1</v>
      </c>
      <c r="AP165" s="54">
        <v>1</v>
      </c>
      <c r="AQ165" s="54">
        <v>1</v>
      </c>
      <c r="AR165" s="54">
        <v>0</v>
      </c>
      <c r="AS165" s="54">
        <v>0</v>
      </c>
      <c r="AT165" s="54">
        <v>0</v>
      </c>
      <c r="AU165" s="54">
        <v>0</v>
      </c>
      <c r="AV165" s="54">
        <v>0</v>
      </c>
      <c r="AW165" s="54">
        <v>1</v>
      </c>
      <c r="AX165" s="54">
        <v>1</v>
      </c>
      <c r="AY165" s="54">
        <v>1</v>
      </c>
      <c r="AZ165" s="46">
        <f t="shared" si="36"/>
        <v>8</v>
      </c>
      <c r="BA165" s="46"/>
      <c r="BB165" s="54">
        <v>0</v>
      </c>
      <c r="BC165" s="54">
        <v>0</v>
      </c>
      <c r="BD165" s="54">
        <v>0</v>
      </c>
      <c r="BE165" s="54">
        <v>0</v>
      </c>
      <c r="BF165" s="54">
        <v>0</v>
      </c>
      <c r="BG165" s="54">
        <v>0</v>
      </c>
      <c r="BH165" s="54">
        <v>0</v>
      </c>
      <c r="BI165" s="54">
        <v>0</v>
      </c>
      <c r="BJ165" s="46">
        <f t="shared" si="37"/>
        <v>0</v>
      </c>
      <c r="BK165" s="50"/>
      <c r="BL165" s="54"/>
      <c r="BM165" s="54"/>
      <c r="BN165" s="54"/>
      <c r="BO165" s="54"/>
      <c r="BP165" s="54"/>
      <c r="BQ165" s="54"/>
      <c r="BR165" s="54"/>
      <c r="BS165" s="47">
        <f t="shared" si="38"/>
        <v>0</v>
      </c>
      <c r="BT165" s="46"/>
      <c r="BU165" s="44">
        <f t="shared" si="39"/>
        <v>14</v>
      </c>
      <c r="BV165" s="44">
        <f t="shared" si="40"/>
        <v>8</v>
      </c>
      <c r="BW165" s="44">
        <f t="shared" si="41"/>
        <v>22</v>
      </c>
      <c r="BX165" s="44">
        <f t="shared" si="42"/>
        <v>0</v>
      </c>
      <c r="BY165" s="44">
        <f t="shared" si="43"/>
        <v>0</v>
      </c>
      <c r="BZ165" s="56"/>
      <c r="CA165" s="44">
        <f t="shared" si="44"/>
        <v>22</v>
      </c>
      <c r="CB165" s="56"/>
    </row>
    <row r="166" spans="1:89" s="49" customFormat="1" ht="15.75" customHeight="1" x14ac:dyDescent="0.25">
      <c r="A166" s="40" t="s">
        <v>531</v>
      </c>
      <c r="B166" s="54" t="s">
        <v>475</v>
      </c>
      <c r="C166" s="54">
        <v>-33526335</v>
      </c>
      <c r="D166" s="54">
        <v>-70619657</v>
      </c>
      <c r="E166" s="54" t="s">
        <v>605</v>
      </c>
      <c r="F166" s="54">
        <v>-33526335</v>
      </c>
      <c r="G166" s="54">
        <v>-70619657</v>
      </c>
      <c r="H166" s="54" t="s">
        <v>94</v>
      </c>
      <c r="I166" s="54">
        <v>1</v>
      </c>
      <c r="J166" s="54">
        <v>0</v>
      </c>
      <c r="K166" s="54">
        <v>0</v>
      </c>
      <c r="L166" s="54">
        <v>1</v>
      </c>
      <c r="M166" s="54">
        <v>1</v>
      </c>
      <c r="N166" s="54">
        <v>1</v>
      </c>
      <c r="O166" s="54">
        <v>1</v>
      </c>
      <c r="P166" s="54">
        <v>0</v>
      </c>
      <c r="Q166" s="54">
        <v>1</v>
      </c>
      <c r="R166" s="54">
        <v>1</v>
      </c>
      <c r="S166" s="54">
        <v>0</v>
      </c>
      <c r="T166" s="54">
        <v>1</v>
      </c>
      <c r="U166" s="54">
        <v>1</v>
      </c>
      <c r="V166" s="54">
        <v>0</v>
      </c>
      <c r="W166" s="54">
        <v>1</v>
      </c>
      <c r="X166" s="54">
        <v>1</v>
      </c>
      <c r="Y166" s="54">
        <v>1</v>
      </c>
      <c r="Z166" s="54">
        <v>1</v>
      </c>
      <c r="AA166" s="54">
        <v>1</v>
      </c>
      <c r="AB166" s="54">
        <v>0</v>
      </c>
      <c r="AC166" s="54">
        <v>1</v>
      </c>
      <c r="AD166" s="54">
        <v>1</v>
      </c>
      <c r="AE166" s="54">
        <v>0</v>
      </c>
      <c r="AF166" s="54">
        <v>1</v>
      </c>
      <c r="AG166" s="54">
        <v>1</v>
      </c>
      <c r="AH166" s="54">
        <v>1</v>
      </c>
      <c r="AI166" s="54">
        <v>1</v>
      </c>
      <c r="AJ166" s="54">
        <v>1</v>
      </c>
      <c r="AK166" s="46">
        <f t="shared" si="35"/>
        <v>21</v>
      </c>
      <c r="AL166" s="46"/>
      <c r="AM166" s="54">
        <v>1</v>
      </c>
      <c r="AN166" s="54">
        <v>1</v>
      </c>
      <c r="AO166" s="54">
        <v>1</v>
      </c>
      <c r="AP166" s="54">
        <v>1</v>
      </c>
      <c r="AQ166" s="54">
        <v>1</v>
      </c>
      <c r="AR166" s="54">
        <v>1</v>
      </c>
      <c r="AS166" s="54">
        <v>0</v>
      </c>
      <c r="AT166" s="54">
        <v>0</v>
      </c>
      <c r="AU166" s="54">
        <v>0</v>
      </c>
      <c r="AV166" s="54">
        <v>0</v>
      </c>
      <c r="AW166" s="54">
        <v>1</v>
      </c>
      <c r="AX166" s="54">
        <v>1</v>
      </c>
      <c r="AY166" s="54">
        <v>1</v>
      </c>
      <c r="AZ166" s="46">
        <f t="shared" si="36"/>
        <v>9</v>
      </c>
      <c r="BA166" s="46"/>
      <c r="BB166" s="54">
        <v>0</v>
      </c>
      <c r="BC166" s="54">
        <v>1</v>
      </c>
      <c r="BD166" s="54">
        <v>1</v>
      </c>
      <c r="BE166" s="54">
        <v>0</v>
      </c>
      <c r="BF166" s="54">
        <v>1</v>
      </c>
      <c r="BG166" s="54">
        <v>0</v>
      </c>
      <c r="BH166" s="54">
        <v>0</v>
      </c>
      <c r="BI166" s="54">
        <v>1</v>
      </c>
      <c r="BJ166" s="46">
        <f t="shared" si="37"/>
        <v>4</v>
      </c>
      <c r="BK166" s="50"/>
      <c r="BL166" s="54">
        <v>0</v>
      </c>
      <c r="BM166" s="54">
        <v>0</v>
      </c>
      <c r="BN166" s="54">
        <v>0</v>
      </c>
      <c r="BO166" s="54">
        <v>0</v>
      </c>
      <c r="BP166" s="54">
        <v>0</v>
      </c>
      <c r="BQ166" s="54">
        <v>0</v>
      </c>
      <c r="BR166" s="54">
        <v>0</v>
      </c>
      <c r="BS166" s="47">
        <f t="shared" si="38"/>
        <v>0</v>
      </c>
      <c r="BT166" s="46"/>
      <c r="BU166" s="44">
        <f t="shared" si="39"/>
        <v>21</v>
      </c>
      <c r="BV166" s="44">
        <f t="shared" si="40"/>
        <v>9</v>
      </c>
      <c r="BW166" s="44">
        <f t="shared" si="41"/>
        <v>30</v>
      </c>
      <c r="BX166" s="44">
        <f t="shared" si="42"/>
        <v>4</v>
      </c>
      <c r="BY166" s="44">
        <f t="shared" si="43"/>
        <v>0</v>
      </c>
      <c r="BZ166" s="56"/>
      <c r="CA166" s="44">
        <f t="shared" si="44"/>
        <v>34</v>
      </c>
      <c r="CB166" s="56"/>
    </row>
    <row r="167" spans="1:89" s="49" customFormat="1" ht="15.75" customHeight="1" x14ac:dyDescent="0.25">
      <c r="A167" s="40" t="s">
        <v>531</v>
      </c>
      <c r="B167" s="54" t="s">
        <v>475</v>
      </c>
      <c r="C167" s="54">
        <v>-33526949</v>
      </c>
      <c r="D167" s="54">
        <v>-70619418</v>
      </c>
      <c r="E167" s="54" t="s">
        <v>606</v>
      </c>
      <c r="F167" s="54">
        <v>-33526949</v>
      </c>
      <c r="G167" s="54">
        <v>-70619418</v>
      </c>
      <c r="H167" s="54" t="s">
        <v>94</v>
      </c>
      <c r="I167" s="54">
        <v>0</v>
      </c>
      <c r="J167" s="54">
        <v>0</v>
      </c>
      <c r="K167" s="54">
        <v>0</v>
      </c>
      <c r="L167" s="54">
        <v>1</v>
      </c>
      <c r="M167" s="54">
        <v>0</v>
      </c>
      <c r="N167" s="54">
        <v>1</v>
      </c>
      <c r="O167" s="54">
        <v>1</v>
      </c>
      <c r="P167" s="54">
        <v>0</v>
      </c>
      <c r="Q167" s="54">
        <v>1</v>
      </c>
      <c r="R167" s="54">
        <v>1</v>
      </c>
      <c r="S167" s="54">
        <v>0</v>
      </c>
      <c r="T167" s="54">
        <v>1</v>
      </c>
      <c r="U167" s="54">
        <v>0</v>
      </c>
      <c r="V167" s="54">
        <v>0</v>
      </c>
      <c r="W167" s="54">
        <v>1</v>
      </c>
      <c r="X167" s="54">
        <v>1</v>
      </c>
      <c r="Y167" s="54">
        <v>1</v>
      </c>
      <c r="Z167" s="54">
        <v>0</v>
      </c>
      <c r="AA167" s="54">
        <v>1</v>
      </c>
      <c r="AB167" s="54">
        <v>0</v>
      </c>
      <c r="AC167" s="54">
        <v>1</v>
      </c>
      <c r="AD167" s="54">
        <v>1</v>
      </c>
      <c r="AE167" s="54">
        <v>0</v>
      </c>
      <c r="AF167" s="54">
        <v>1</v>
      </c>
      <c r="AG167" s="54">
        <v>1</v>
      </c>
      <c r="AH167" s="54">
        <v>1</v>
      </c>
      <c r="AI167" s="54">
        <v>1</v>
      </c>
      <c r="AJ167" s="54">
        <v>1</v>
      </c>
      <c r="AK167" s="46">
        <f t="shared" si="35"/>
        <v>17</v>
      </c>
      <c r="AL167" s="46"/>
      <c r="AM167" s="54">
        <v>1</v>
      </c>
      <c r="AN167" s="54">
        <v>1</v>
      </c>
      <c r="AO167" s="54">
        <v>1</v>
      </c>
      <c r="AP167" s="54">
        <v>1</v>
      </c>
      <c r="AQ167" s="54">
        <v>1</v>
      </c>
      <c r="AR167" s="54">
        <v>0</v>
      </c>
      <c r="AS167" s="54">
        <v>1</v>
      </c>
      <c r="AT167" s="54">
        <v>0</v>
      </c>
      <c r="AU167" s="54">
        <v>0</v>
      </c>
      <c r="AV167" s="54">
        <v>0</v>
      </c>
      <c r="AW167" s="54">
        <v>1</v>
      </c>
      <c r="AX167" s="54">
        <v>1</v>
      </c>
      <c r="AY167" s="54">
        <v>1</v>
      </c>
      <c r="AZ167" s="46">
        <f t="shared" si="36"/>
        <v>9</v>
      </c>
      <c r="BA167" s="46"/>
      <c r="BB167" s="54">
        <v>0</v>
      </c>
      <c r="BC167" s="54">
        <v>0</v>
      </c>
      <c r="BD167" s="54">
        <v>1</v>
      </c>
      <c r="BE167" s="54">
        <v>0</v>
      </c>
      <c r="BF167" s="54">
        <v>1</v>
      </c>
      <c r="BG167" s="54">
        <v>0</v>
      </c>
      <c r="BH167" s="54">
        <v>0</v>
      </c>
      <c r="BI167" s="54">
        <v>1</v>
      </c>
      <c r="BJ167" s="46">
        <f t="shared" si="37"/>
        <v>3</v>
      </c>
      <c r="BK167" s="50"/>
      <c r="BL167" s="54">
        <v>0</v>
      </c>
      <c r="BM167" s="54">
        <v>0</v>
      </c>
      <c r="BN167" s="54">
        <v>0</v>
      </c>
      <c r="BO167" s="54">
        <v>0</v>
      </c>
      <c r="BP167" s="54">
        <v>0</v>
      </c>
      <c r="BQ167" s="54">
        <v>0</v>
      </c>
      <c r="BR167" s="54">
        <v>0</v>
      </c>
      <c r="BS167" s="47">
        <f t="shared" si="38"/>
        <v>0</v>
      </c>
      <c r="BT167" s="46"/>
      <c r="BU167" s="44">
        <f t="shared" si="39"/>
        <v>17</v>
      </c>
      <c r="BV167" s="44">
        <f t="shared" si="40"/>
        <v>9</v>
      </c>
      <c r="BW167" s="44">
        <f t="shared" si="41"/>
        <v>26</v>
      </c>
      <c r="BX167" s="44">
        <f t="shared" si="42"/>
        <v>3</v>
      </c>
      <c r="BY167" s="44">
        <f t="shared" si="43"/>
        <v>0</v>
      </c>
      <c r="BZ167" s="56"/>
      <c r="CA167" s="44">
        <f t="shared" si="44"/>
        <v>29</v>
      </c>
      <c r="CB167" s="56"/>
    </row>
    <row r="168" spans="1:89" s="49" customFormat="1" ht="15" customHeight="1" x14ac:dyDescent="0.25">
      <c r="A168" s="40" t="s">
        <v>531</v>
      </c>
      <c r="B168" s="54" t="s">
        <v>475</v>
      </c>
      <c r="C168" s="54">
        <v>-33526809</v>
      </c>
      <c r="D168" s="54">
        <v>-70618245</v>
      </c>
      <c r="E168" s="54" t="s">
        <v>607</v>
      </c>
      <c r="F168" s="54">
        <v>-33526809</v>
      </c>
      <c r="G168" s="54">
        <v>-70618245</v>
      </c>
      <c r="H168" s="54" t="s">
        <v>96</v>
      </c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46">
        <f t="shared" si="35"/>
        <v>0</v>
      </c>
      <c r="AL168" s="46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46">
        <f t="shared" si="36"/>
        <v>0</v>
      </c>
      <c r="BA168" s="46"/>
      <c r="BB168" s="54"/>
      <c r="BC168" s="54"/>
      <c r="BD168" s="54"/>
      <c r="BE168" s="54"/>
      <c r="BF168" s="54"/>
      <c r="BG168" s="54"/>
      <c r="BH168" s="54"/>
      <c r="BI168" s="54"/>
      <c r="BJ168" s="46">
        <f t="shared" si="37"/>
        <v>0</v>
      </c>
      <c r="BK168" s="50"/>
      <c r="BL168" s="54"/>
      <c r="BM168" s="54"/>
      <c r="BN168" s="54"/>
      <c r="BO168" s="54"/>
      <c r="BP168" s="54"/>
      <c r="BQ168" s="54"/>
      <c r="BR168" s="54"/>
      <c r="BS168" s="47">
        <f t="shared" si="38"/>
        <v>0</v>
      </c>
      <c r="BT168" s="46"/>
      <c r="BU168" s="44">
        <f t="shared" si="39"/>
        <v>0</v>
      </c>
      <c r="BV168" s="44">
        <f t="shared" si="40"/>
        <v>0</v>
      </c>
      <c r="BW168" s="44">
        <f t="shared" si="41"/>
        <v>0</v>
      </c>
      <c r="BX168" s="44">
        <f t="shared" si="42"/>
        <v>0</v>
      </c>
      <c r="BY168" s="44">
        <f t="shared" si="43"/>
        <v>0</v>
      </c>
      <c r="BZ168" s="56"/>
      <c r="CA168" s="44">
        <f t="shared" si="44"/>
        <v>0</v>
      </c>
      <c r="CB168" s="56"/>
    </row>
    <row r="169" spans="1:89" s="49" customFormat="1" ht="15.75" customHeight="1" x14ac:dyDescent="0.25">
      <c r="A169" s="40" t="s">
        <v>531</v>
      </c>
      <c r="B169" s="54" t="s">
        <v>475</v>
      </c>
      <c r="C169" s="54">
        <v>-33526166</v>
      </c>
      <c r="D169" s="54">
        <v>-70617158</v>
      </c>
      <c r="E169" s="54" t="s">
        <v>608</v>
      </c>
      <c r="F169" s="54">
        <v>-33526166</v>
      </c>
      <c r="G169" s="54">
        <v>-70617158</v>
      </c>
      <c r="H169" s="54" t="s">
        <v>609</v>
      </c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46">
        <f t="shared" si="35"/>
        <v>0</v>
      </c>
      <c r="AL169" s="46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46">
        <f t="shared" si="36"/>
        <v>0</v>
      </c>
      <c r="BA169" s="46"/>
      <c r="BB169" s="54"/>
      <c r="BC169" s="54"/>
      <c r="BD169" s="54"/>
      <c r="BE169" s="54"/>
      <c r="BF169" s="54"/>
      <c r="BG169" s="54"/>
      <c r="BH169" s="54"/>
      <c r="BI169" s="54"/>
      <c r="BJ169" s="46">
        <f t="shared" si="37"/>
        <v>0</v>
      </c>
      <c r="BK169" s="50"/>
      <c r="BL169" s="54"/>
      <c r="BM169" s="54"/>
      <c r="BN169" s="54"/>
      <c r="BO169" s="54"/>
      <c r="BP169" s="54"/>
      <c r="BQ169" s="54"/>
      <c r="BR169" s="54"/>
      <c r="BS169" s="47">
        <f t="shared" si="38"/>
        <v>0</v>
      </c>
      <c r="BT169" s="46"/>
      <c r="BU169" s="44">
        <f t="shared" si="39"/>
        <v>0</v>
      </c>
      <c r="BV169" s="44">
        <f t="shared" si="40"/>
        <v>0</v>
      </c>
      <c r="BW169" s="44">
        <f t="shared" si="41"/>
        <v>0</v>
      </c>
      <c r="BX169" s="44">
        <f t="shared" si="42"/>
        <v>0</v>
      </c>
      <c r="BY169" s="44">
        <f t="shared" si="43"/>
        <v>0</v>
      </c>
      <c r="BZ169" s="56"/>
      <c r="CA169" s="44">
        <f t="shared" si="44"/>
        <v>0</v>
      </c>
      <c r="CB169" s="56"/>
      <c r="CC169" s="57"/>
      <c r="CD169" s="57"/>
      <c r="CE169" s="57"/>
      <c r="CF169" s="57"/>
      <c r="CG169" s="57"/>
      <c r="CH169" s="57"/>
      <c r="CI169" s="57"/>
      <c r="CJ169" s="57"/>
      <c r="CK169" s="57"/>
    </row>
    <row r="170" spans="1:89" s="49" customFormat="1" ht="15.75" customHeight="1" x14ac:dyDescent="0.25">
      <c r="A170" s="40" t="s">
        <v>531</v>
      </c>
      <c r="B170" s="46" t="s">
        <v>89</v>
      </c>
      <c r="C170" s="58">
        <v>-33489947</v>
      </c>
      <c r="D170" s="50">
        <v>-70632479</v>
      </c>
      <c r="E170" s="54" t="s">
        <v>613</v>
      </c>
      <c r="F170" s="54">
        <v>-33490308</v>
      </c>
      <c r="G170" s="54">
        <v>-70631172</v>
      </c>
      <c r="H170" s="54" t="s">
        <v>614</v>
      </c>
      <c r="I170" s="54">
        <v>0</v>
      </c>
      <c r="J170" s="54">
        <v>0</v>
      </c>
      <c r="K170" s="54">
        <v>0</v>
      </c>
      <c r="L170" s="54">
        <v>0</v>
      </c>
      <c r="M170" s="54">
        <v>0</v>
      </c>
      <c r="N170" s="54">
        <v>1</v>
      </c>
      <c r="O170" s="54">
        <v>1</v>
      </c>
      <c r="P170" s="54">
        <v>0</v>
      </c>
      <c r="Q170" s="54">
        <v>1</v>
      </c>
      <c r="R170" s="54">
        <v>0</v>
      </c>
      <c r="S170" s="54">
        <v>1</v>
      </c>
      <c r="T170" s="54">
        <v>0</v>
      </c>
      <c r="U170" s="54">
        <v>0</v>
      </c>
      <c r="V170" s="54">
        <v>0</v>
      </c>
      <c r="W170" s="54">
        <v>0</v>
      </c>
      <c r="X170" s="54">
        <v>1</v>
      </c>
      <c r="Y170" s="54">
        <v>0</v>
      </c>
      <c r="Z170" s="54">
        <v>0</v>
      </c>
      <c r="AA170" s="54">
        <v>0</v>
      </c>
      <c r="AB170" s="54">
        <v>0</v>
      </c>
      <c r="AC170" s="54">
        <v>1</v>
      </c>
      <c r="AD170" s="54">
        <v>1</v>
      </c>
      <c r="AE170" s="54">
        <v>0</v>
      </c>
      <c r="AF170" s="54">
        <v>1</v>
      </c>
      <c r="AG170" s="54">
        <v>0</v>
      </c>
      <c r="AH170" s="54">
        <v>0</v>
      </c>
      <c r="AI170" s="54">
        <v>0</v>
      </c>
      <c r="AJ170" s="54">
        <v>0</v>
      </c>
      <c r="AK170" s="46">
        <f t="shared" si="35"/>
        <v>8</v>
      </c>
      <c r="AL170" s="46"/>
      <c r="AM170" s="54">
        <v>1</v>
      </c>
      <c r="AN170" s="54">
        <v>1</v>
      </c>
      <c r="AO170" s="54">
        <v>1</v>
      </c>
      <c r="AP170" s="54">
        <v>1</v>
      </c>
      <c r="AQ170" s="54">
        <v>0</v>
      </c>
      <c r="AR170" s="54">
        <v>0</v>
      </c>
      <c r="AS170" s="54">
        <v>1</v>
      </c>
      <c r="AT170" s="54">
        <v>1</v>
      </c>
      <c r="AU170" s="54">
        <v>1</v>
      </c>
      <c r="AV170" s="54">
        <v>0</v>
      </c>
      <c r="AW170" s="54">
        <v>1</v>
      </c>
      <c r="AX170" s="54">
        <v>0</v>
      </c>
      <c r="AY170" s="54">
        <v>0</v>
      </c>
      <c r="AZ170" s="46">
        <f t="shared" si="36"/>
        <v>8</v>
      </c>
      <c r="BA170" s="46"/>
      <c r="BB170" s="54">
        <v>0</v>
      </c>
      <c r="BC170" s="54">
        <v>0</v>
      </c>
      <c r="BD170" s="54">
        <v>0</v>
      </c>
      <c r="BE170" s="54">
        <v>0</v>
      </c>
      <c r="BF170" s="54">
        <v>0</v>
      </c>
      <c r="BG170" s="54">
        <v>0</v>
      </c>
      <c r="BH170" s="54">
        <v>0</v>
      </c>
      <c r="BI170" s="54">
        <v>0</v>
      </c>
      <c r="BJ170" s="46">
        <f t="shared" si="37"/>
        <v>0</v>
      </c>
      <c r="BK170" s="50"/>
      <c r="BL170" s="54">
        <v>0</v>
      </c>
      <c r="BM170" s="54">
        <v>0</v>
      </c>
      <c r="BN170" s="54">
        <v>0</v>
      </c>
      <c r="BO170" s="54">
        <v>0</v>
      </c>
      <c r="BP170" s="54">
        <v>0</v>
      </c>
      <c r="BQ170" s="54">
        <v>0</v>
      </c>
      <c r="BR170" s="54">
        <v>0</v>
      </c>
      <c r="BS170" s="47">
        <f t="shared" si="38"/>
        <v>0</v>
      </c>
      <c r="BT170" s="46"/>
      <c r="BU170" s="44">
        <f t="shared" si="39"/>
        <v>8</v>
      </c>
      <c r="BV170" s="44">
        <f t="shared" si="40"/>
        <v>8</v>
      </c>
      <c r="BW170" s="44">
        <f t="shared" si="41"/>
        <v>16</v>
      </c>
      <c r="BX170" s="44">
        <f t="shared" si="42"/>
        <v>0</v>
      </c>
      <c r="BY170" s="44">
        <f t="shared" si="43"/>
        <v>0</v>
      </c>
      <c r="BZ170" s="56"/>
      <c r="CA170" s="44">
        <f t="shared" si="44"/>
        <v>16</v>
      </c>
      <c r="CB170" s="56"/>
    </row>
    <row r="171" spans="1:89" s="49" customFormat="1" ht="15.75" customHeight="1" x14ac:dyDescent="0.25">
      <c r="A171" s="40" t="s">
        <v>531</v>
      </c>
      <c r="B171" s="46" t="s">
        <v>89</v>
      </c>
      <c r="C171" s="58">
        <v>-33489947</v>
      </c>
      <c r="D171" s="50">
        <v>-70632479</v>
      </c>
      <c r="E171" s="54" t="s">
        <v>615</v>
      </c>
      <c r="F171" s="54">
        <v>-33490399</v>
      </c>
      <c r="G171" s="54">
        <v>-70629732</v>
      </c>
      <c r="H171" s="54" t="s">
        <v>616</v>
      </c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46">
        <f t="shared" si="35"/>
        <v>0</v>
      </c>
      <c r="AL171" s="46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46">
        <f t="shared" si="36"/>
        <v>0</v>
      </c>
      <c r="BA171" s="46"/>
      <c r="BB171" s="54"/>
      <c r="BC171" s="54"/>
      <c r="BD171" s="54"/>
      <c r="BE171" s="54"/>
      <c r="BF171" s="54"/>
      <c r="BG171" s="54"/>
      <c r="BH171" s="54"/>
      <c r="BI171" s="54"/>
      <c r="BJ171" s="46">
        <f t="shared" si="37"/>
        <v>0</v>
      </c>
      <c r="BK171" s="50"/>
      <c r="BL171" s="54"/>
      <c r="BM171" s="54"/>
      <c r="BN171" s="54"/>
      <c r="BO171" s="54"/>
      <c r="BP171" s="54"/>
      <c r="BQ171" s="54"/>
      <c r="BR171" s="54"/>
      <c r="BS171" s="47">
        <f t="shared" si="38"/>
        <v>0</v>
      </c>
      <c r="BT171" s="46"/>
      <c r="BU171" s="44">
        <f t="shared" si="39"/>
        <v>0</v>
      </c>
      <c r="BV171" s="44">
        <f t="shared" si="40"/>
        <v>0</v>
      </c>
      <c r="BW171" s="44">
        <f t="shared" si="41"/>
        <v>0</v>
      </c>
      <c r="BX171" s="44">
        <f t="shared" si="42"/>
        <v>0</v>
      </c>
      <c r="BY171" s="44">
        <f t="shared" si="43"/>
        <v>0</v>
      </c>
      <c r="BZ171" s="56"/>
      <c r="CA171" s="44">
        <f t="shared" si="44"/>
        <v>0</v>
      </c>
      <c r="CB171" s="56"/>
      <c r="CC171" s="57"/>
      <c r="CD171" s="57"/>
      <c r="CE171" s="57"/>
      <c r="CF171" s="57"/>
      <c r="CG171" s="57"/>
      <c r="CH171" s="57"/>
      <c r="CI171" s="57"/>
      <c r="CJ171" s="57"/>
      <c r="CK171" s="57"/>
    </row>
    <row r="172" spans="1:89" s="49" customFormat="1" ht="15.75" customHeight="1" x14ac:dyDescent="0.25">
      <c r="A172" s="40" t="s">
        <v>531</v>
      </c>
      <c r="B172" s="46" t="s">
        <v>89</v>
      </c>
      <c r="C172" s="58">
        <v>-33489947</v>
      </c>
      <c r="D172" s="50">
        <v>-70632479</v>
      </c>
      <c r="E172" s="54" t="s">
        <v>617</v>
      </c>
      <c r="F172" s="54">
        <v>-3349382</v>
      </c>
      <c r="G172" s="54">
        <v>-706291</v>
      </c>
      <c r="H172" s="54" t="s">
        <v>618</v>
      </c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46">
        <f t="shared" si="35"/>
        <v>0</v>
      </c>
      <c r="AL172" s="46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46">
        <f t="shared" si="36"/>
        <v>0</v>
      </c>
      <c r="BA172" s="46"/>
      <c r="BB172" s="54"/>
      <c r="BC172" s="54"/>
      <c r="BD172" s="54"/>
      <c r="BE172" s="54"/>
      <c r="BF172" s="54"/>
      <c r="BG172" s="54"/>
      <c r="BH172" s="54"/>
      <c r="BI172" s="54"/>
      <c r="BJ172" s="46">
        <f t="shared" si="37"/>
        <v>0</v>
      </c>
      <c r="BK172" s="50"/>
      <c r="BL172" s="54"/>
      <c r="BM172" s="54"/>
      <c r="BN172" s="54"/>
      <c r="BO172" s="54"/>
      <c r="BP172" s="54"/>
      <c r="BQ172" s="54"/>
      <c r="BR172" s="54"/>
      <c r="BS172" s="47">
        <f t="shared" si="38"/>
        <v>0</v>
      </c>
      <c r="BT172" s="46"/>
      <c r="BU172" s="44">
        <f t="shared" si="39"/>
        <v>0</v>
      </c>
      <c r="BV172" s="44">
        <f t="shared" si="40"/>
        <v>0</v>
      </c>
      <c r="BW172" s="44">
        <f t="shared" si="41"/>
        <v>0</v>
      </c>
      <c r="BX172" s="44">
        <f t="shared" si="42"/>
        <v>0</v>
      </c>
      <c r="BY172" s="44">
        <f t="shared" si="43"/>
        <v>0</v>
      </c>
      <c r="BZ172" s="56"/>
      <c r="CA172" s="44">
        <f t="shared" si="44"/>
        <v>0</v>
      </c>
      <c r="CB172" s="56"/>
      <c r="CC172" s="57"/>
      <c r="CD172" s="57"/>
      <c r="CE172" s="57"/>
      <c r="CF172" s="57"/>
      <c r="CG172" s="57"/>
      <c r="CH172" s="57"/>
      <c r="CI172" s="57"/>
      <c r="CJ172" s="57"/>
      <c r="CK172" s="57"/>
    </row>
    <row r="173" spans="1:89" s="49" customFormat="1" ht="15.75" customHeight="1" x14ac:dyDescent="0.25">
      <c r="A173" s="40" t="s">
        <v>531</v>
      </c>
      <c r="B173" s="46" t="s">
        <v>89</v>
      </c>
      <c r="C173" s="53">
        <v>-33489947</v>
      </c>
      <c r="D173" s="59">
        <v>-70632479</v>
      </c>
      <c r="E173" s="54" t="s">
        <v>619</v>
      </c>
      <c r="F173" s="54">
        <v>-33492241</v>
      </c>
      <c r="G173" s="54">
        <v>-70630519</v>
      </c>
      <c r="H173" s="54" t="s">
        <v>94</v>
      </c>
      <c r="I173" s="54">
        <v>0</v>
      </c>
      <c r="J173" s="54">
        <v>0</v>
      </c>
      <c r="K173" s="54">
        <v>0</v>
      </c>
      <c r="L173" s="54">
        <v>1</v>
      </c>
      <c r="M173" s="54">
        <v>1</v>
      </c>
      <c r="N173" s="54">
        <v>1</v>
      </c>
      <c r="O173" s="54">
        <v>1</v>
      </c>
      <c r="P173" s="54">
        <v>0</v>
      </c>
      <c r="Q173" s="54">
        <v>1</v>
      </c>
      <c r="R173" s="54">
        <v>1</v>
      </c>
      <c r="S173" s="54">
        <v>1</v>
      </c>
      <c r="T173" s="54">
        <v>1</v>
      </c>
      <c r="U173" s="54">
        <v>1</v>
      </c>
      <c r="V173" s="54">
        <v>0</v>
      </c>
      <c r="W173" s="54">
        <v>1</v>
      </c>
      <c r="X173" s="54">
        <v>1</v>
      </c>
      <c r="Y173" s="54">
        <v>0</v>
      </c>
      <c r="Z173" s="54">
        <v>0</v>
      </c>
      <c r="AA173" s="54">
        <v>0</v>
      </c>
      <c r="AB173" s="54">
        <v>0</v>
      </c>
      <c r="AC173" s="54">
        <v>1</v>
      </c>
      <c r="AD173" s="54">
        <v>1</v>
      </c>
      <c r="AE173" s="54">
        <v>0</v>
      </c>
      <c r="AF173" s="54">
        <v>1</v>
      </c>
      <c r="AG173" s="54">
        <v>1</v>
      </c>
      <c r="AH173" s="54">
        <v>1</v>
      </c>
      <c r="AI173" s="54">
        <v>0</v>
      </c>
      <c r="AJ173" s="54">
        <v>0</v>
      </c>
      <c r="AK173" s="46">
        <f t="shared" si="35"/>
        <v>16</v>
      </c>
      <c r="AL173" s="46"/>
      <c r="AM173" s="54">
        <v>1</v>
      </c>
      <c r="AN173" s="54">
        <v>1</v>
      </c>
      <c r="AO173" s="54">
        <v>1</v>
      </c>
      <c r="AP173" s="54">
        <v>1</v>
      </c>
      <c r="AQ173" s="54">
        <v>1</v>
      </c>
      <c r="AR173" s="54">
        <v>0</v>
      </c>
      <c r="AS173" s="54">
        <v>1</v>
      </c>
      <c r="AT173" s="54">
        <v>0</v>
      </c>
      <c r="AU173" s="54">
        <v>0</v>
      </c>
      <c r="AV173" s="54">
        <v>0</v>
      </c>
      <c r="AW173" s="54">
        <v>1</v>
      </c>
      <c r="AX173" s="54">
        <v>1</v>
      </c>
      <c r="AY173" s="54">
        <v>1</v>
      </c>
      <c r="AZ173" s="46">
        <f t="shared" si="36"/>
        <v>9</v>
      </c>
      <c r="BA173" s="46"/>
      <c r="BB173" s="54">
        <v>0</v>
      </c>
      <c r="BC173" s="54">
        <v>0</v>
      </c>
      <c r="BD173" s="54">
        <v>0</v>
      </c>
      <c r="BE173" s="54">
        <v>0</v>
      </c>
      <c r="BF173" s="54">
        <v>0</v>
      </c>
      <c r="BG173" s="54">
        <v>0</v>
      </c>
      <c r="BH173" s="54">
        <v>0</v>
      </c>
      <c r="BI173" s="54">
        <v>0</v>
      </c>
      <c r="BJ173" s="46">
        <f t="shared" si="37"/>
        <v>0</v>
      </c>
      <c r="BK173" s="50"/>
      <c r="BL173" s="54">
        <v>0</v>
      </c>
      <c r="BM173" s="54">
        <v>0</v>
      </c>
      <c r="BN173" s="54">
        <v>0</v>
      </c>
      <c r="BO173" s="54">
        <v>0</v>
      </c>
      <c r="BP173" s="54">
        <v>0</v>
      </c>
      <c r="BQ173" s="54">
        <v>0</v>
      </c>
      <c r="BR173" s="54">
        <v>0</v>
      </c>
      <c r="BS173" s="47">
        <f t="shared" si="38"/>
        <v>0</v>
      </c>
      <c r="BT173" s="46"/>
      <c r="BU173" s="44">
        <f t="shared" si="39"/>
        <v>16</v>
      </c>
      <c r="BV173" s="44">
        <f t="shared" si="40"/>
        <v>9</v>
      </c>
      <c r="BW173" s="44">
        <f t="shared" si="41"/>
        <v>25</v>
      </c>
      <c r="BX173" s="44">
        <f t="shared" si="42"/>
        <v>0</v>
      </c>
      <c r="BY173" s="44">
        <f t="shared" si="43"/>
        <v>0</v>
      </c>
      <c r="BZ173" s="56"/>
      <c r="CA173" s="44">
        <f t="shared" si="44"/>
        <v>25</v>
      </c>
      <c r="CB173" s="56"/>
      <c r="CC173" s="57"/>
      <c r="CD173" s="57"/>
      <c r="CE173" s="57"/>
      <c r="CF173" s="57"/>
      <c r="CG173" s="57"/>
      <c r="CH173" s="57"/>
      <c r="CI173" s="57"/>
      <c r="CJ173" s="57"/>
      <c r="CK173" s="57"/>
    </row>
    <row r="174" spans="1:89" s="49" customFormat="1" ht="15.75" customHeight="1" x14ac:dyDescent="0.25">
      <c r="A174" s="40" t="s">
        <v>531</v>
      </c>
      <c r="B174" s="46" t="s">
        <v>89</v>
      </c>
      <c r="C174" s="53">
        <v>-33489947</v>
      </c>
      <c r="D174" s="59">
        <v>-70632479</v>
      </c>
      <c r="E174" s="54" t="s">
        <v>620</v>
      </c>
      <c r="F174" s="54">
        <v>-33492655</v>
      </c>
      <c r="G174" s="54">
        <v>-706311</v>
      </c>
      <c r="H174" s="54" t="s">
        <v>94</v>
      </c>
      <c r="I174" s="54">
        <v>1</v>
      </c>
      <c r="J174" s="54">
        <v>0</v>
      </c>
      <c r="K174" s="54">
        <v>0</v>
      </c>
      <c r="L174" s="54">
        <v>1</v>
      </c>
      <c r="M174" s="54">
        <v>1</v>
      </c>
      <c r="N174" s="54">
        <v>1</v>
      </c>
      <c r="O174" s="54">
        <v>1</v>
      </c>
      <c r="P174" s="54">
        <v>1</v>
      </c>
      <c r="Q174" s="54">
        <v>1</v>
      </c>
      <c r="R174" s="54">
        <v>0</v>
      </c>
      <c r="S174" s="54">
        <v>1</v>
      </c>
      <c r="T174" s="54">
        <v>1</v>
      </c>
      <c r="U174" s="54">
        <v>1</v>
      </c>
      <c r="V174" s="54">
        <v>0</v>
      </c>
      <c r="W174" s="54">
        <v>1</v>
      </c>
      <c r="X174" s="54">
        <v>1</v>
      </c>
      <c r="Y174" s="54">
        <v>0</v>
      </c>
      <c r="Z174" s="54">
        <v>0</v>
      </c>
      <c r="AA174" s="54">
        <v>0</v>
      </c>
      <c r="AB174" s="54">
        <v>0</v>
      </c>
      <c r="AC174" s="54">
        <v>1</v>
      </c>
      <c r="AD174" s="54">
        <v>1</v>
      </c>
      <c r="AE174" s="54">
        <v>0</v>
      </c>
      <c r="AF174" s="54">
        <v>1</v>
      </c>
      <c r="AG174" s="54">
        <v>1</v>
      </c>
      <c r="AH174" s="54">
        <v>1</v>
      </c>
      <c r="AI174" s="54">
        <v>0</v>
      </c>
      <c r="AJ174" s="54">
        <v>0</v>
      </c>
      <c r="AK174" s="46">
        <f t="shared" si="35"/>
        <v>17</v>
      </c>
      <c r="AL174" s="46"/>
      <c r="AM174" s="54">
        <v>1</v>
      </c>
      <c r="AN174" s="54">
        <v>1</v>
      </c>
      <c r="AO174" s="54">
        <v>1</v>
      </c>
      <c r="AP174" s="54">
        <v>1</v>
      </c>
      <c r="AQ174" s="54">
        <v>1</v>
      </c>
      <c r="AR174" s="54">
        <v>0</v>
      </c>
      <c r="AS174" s="54">
        <v>1</v>
      </c>
      <c r="AT174" s="54">
        <v>0</v>
      </c>
      <c r="AU174" s="54">
        <v>0</v>
      </c>
      <c r="AV174" s="54">
        <v>0</v>
      </c>
      <c r="AW174" s="54">
        <v>1</v>
      </c>
      <c r="AX174" s="54">
        <v>1</v>
      </c>
      <c r="AY174" s="54">
        <v>1</v>
      </c>
      <c r="AZ174" s="46">
        <f t="shared" si="36"/>
        <v>9</v>
      </c>
      <c r="BA174" s="46"/>
      <c r="BB174" s="54">
        <v>0</v>
      </c>
      <c r="BC174" s="54">
        <v>0</v>
      </c>
      <c r="BD174" s="54">
        <v>0</v>
      </c>
      <c r="BE174" s="54">
        <v>0</v>
      </c>
      <c r="BF174" s="54">
        <v>0</v>
      </c>
      <c r="BG174" s="54">
        <v>0</v>
      </c>
      <c r="BH174" s="54">
        <v>0</v>
      </c>
      <c r="BI174" s="54">
        <v>0</v>
      </c>
      <c r="BJ174" s="46">
        <f t="shared" si="37"/>
        <v>0</v>
      </c>
      <c r="BK174" s="50"/>
      <c r="BL174" s="54">
        <v>0</v>
      </c>
      <c r="BM174" s="54">
        <v>0</v>
      </c>
      <c r="BN174" s="54">
        <v>0</v>
      </c>
      <c r="BO174" s="54">
        <v>0</v>
      </c>
      <c r="BP174" s="54">
        <v>0</v>
      </c>
      <c r="BQ174" s="54">
        <v>0</v>
      </c>
      <c r="BR174" s="54">
        <v>0</v>
      </c>
      <c r="BS174" s="47">
        <f t="shared" si="38"/>
        <v>0</v>
      </c>
      <c r="BT174" s="46"/>
      <c r="BU174" s="44">
        <f t="shared" si="39"/>
        <v>17</v>
      </c>
      <c r="BV174" s="44">
        <f t="shared" si="40"/>
        <v>9</v>
      </c>
      <c r="BW174" s="44">
        <f t="shared" si="41"/>
        <v>26</v>
      </c>
      <c r="BX174" s="44">
        <f t="shared" si="42"/>
        <v>0</v>
      </c>
      <c r="BY174" s="44">
        <f t="shared" si="43"/>
        <v>0</v>
      </c>
      <c r="BZ174" s="56"/>
      <c r="CA174" s="44">
        <f t="shared" si="44"/>
        <v>26</v>
      </c>
      <c r="CB174" s="56"/>
    </row>
    <row r="175" spans="1:89" s="49" customFormat="1" ht="15.75" customHeight="1" x14ac:dyDescent="0.25">
      <c r="A175" s="40" t="s">
        <v>531</v>
      </c>
      <c r="B175" s="46" t="s">
        <v>89</v>
      </c>
      <c r="C175" s="53">
        <v>-33489947</v>
      </c>
      <c r="D175" s="59">
        <v>-70632479</v>
      </c>
      <c r="E175" s="54" t="s">
        <v>621</v>
      </c>
      <c r="F175" s="54">
        <v>-33493157</v>
      </c>
      <c r="G175" s="54">
        <v>-70631054</v>
      </c>
      <c r="H175" s="54" t="s">
        <v>622</v>
      </c>
      <c r="I175" s="54">
        <v>1</v>
      </c>
      <c r="J175" s="54">
        <v>0</v>
      </c>
      <c r="K175" s="54">
        <v>0</v>
      </c>
      <c r="L175" s="54">
        <v>1</v>
      </c>
      <c r="M175" s="54">
        <v>1</v>
      </c>
      <c r="N175" s="54">
        <v>1</v>
      </c>
      <c r="O175" s="54">
        <v>1</v>
      </c>
      <c r="P175" s="54">
        <v>0</v>
      </c>
      <c r="Q175" s="54">
        <v>1</v>
      </c>
      <c r="R175" s="54">
        <v>0</v>
      </c>
      <c r="S175" s="54">
        <v>0</v>
      </c>
      <c r="T175" s="54">
        <v>1</v>
      </c>
      <c r="U175" s="54">
        <v>1</v>
      </c>
      <c r="V175" s="54">
        <v>0</v>
      </c>
      <c r="W175" s="54">
        <v>1</v>
      </c>
      <c r="X175" s="54">
        <v>1</v>
      </c>
      <c r="Y175" s="54">
        <v>0</v>
      </c>
      <c r="Z175" s="54">
        <v>0</v>
      </c>
      <c r="AA175" s="54">
        <v>0</v>
      </c>
      <c r="AB175" s="54">
        <v>0</v>
      </c>
      <c r="AC175" s="54">
        <v>1</v>
      </c>
      <c r="AD175" s="54">
        <v>1</v>
      </c>
      <c r="AE175" s="54">
        <v>0</v>
      </c>
      <c r="AF175" s="54">
        <v>1</v>
      </c>
      <c r="AG175" s="54">
        <v>1</v>
      </c>
      <c r="AH175" s="54">
        <v>0</v>
      </c>
      <c r="AI175" s="54">
        <v>0</v>
      </c>
      <c r="AJ175" s="54">
        <v>0</v>
      </c>
      <c r="AK175" s="46">
        <f t="shared" si="35"/>
        <v>14</v>
      </c>
      <c r="AL175" s="46"/>
      <c r="AM175" s="54">
        <v>1</v>
      </c>
      <c r="AN175" s="54">
        <v>1</v>
      </c>
      <c r="AO175" s="54">
        <v>1</v>
      </c>
      <c r="AP175" s="54">
        <v>1</v>
      </c>
      <c r="AQ175" s="54">
        <v>1</v>
      </c>
      <c r="AR175" s="54">
        <v>1</v>
      </c>
      <c r="AS175" s="54">
        <v>1</v>
      </c>
      <c r="AT175" s="54">
        <v>0</v>
      </c>
      <c r="AU175" s="54">
        <v>0</v>
      </c>
      <c r="AV175" s="54">
        <v>0</v>
      </c>
      <c r="AW175" s="54">
        <v>1</v>
      </c>
      <c r="AX175" s="54">
        <v>1</v>
      </c>
      <c r="AY175" s="54">
        <v>1</v>
      </c>
      <c r="AZ175" s="46">
        <f t="shared" si="36"/>
        <v>10</v>
      </c>
      <c r="BA175" s="46"/>
      <c r="BB175" s="54">
        <v>0</v>
      </c>
      <c r="BC175" s="54">
        <v>0</v>
      </c>
      <c r="BD175" s="54">
        <v>0</v>
      </c>
      <c r="BE175" s="54">
        <v>0</v>
      </c>
      <c r="BF175" s="54">
        <v>0</v>
      </c>
      <c r="BG175" s="54">
        <v>0</v>
      </c>
      <c r="BH175" s="54">
        <v>0</v>
      </c>
      <c r="BI175" s="54">
        <v>0</v>
      </c>
      <c r="BJ175" s="46">
        <f t="shared" si="37"/>
        <v>0</v>
      </c>
      <c r="BK175" s="50"/>
      <c r="BL175" s="54">
        <v>0</v>
      </c>
      <c r="BM175" s="54">
        <v>0</v>
      </c>
      <c r="BN175" s="54">
        <v>0</v>
      </c>
      <c r="BO175" s="54">
        <v>0</v>
      </c>
      <c r="BP175" s="54">
        <v>0</v>
      </c>
      <c r="BQ175" s="54">
        <v>0</v>
      </c>
      <c r="BR175" s="54">
        <v>0</v>
      </c>
      <c r="BS175" s="47">
        <f t="shared" si="38"/>
        <v>0</v>
      </c>
      <c r="BT175" s="46"/>
      <c r="BU175" s="44">
        <f t="shared" si="39"/>
        <v>14</v>
      </c>
      <c r="BV175" s="44">
        <f t="shared" si="40"/>
        <v>10</v>
      </c>
      <c r="BW175" s="44">
        <f t="shared" si="41"/>
        <v>24</v>
      </c>
      <c r="BX175" s="44">
        <f t="shared" si="42"/>
        <v>0</v>
      </c>
      <c r="BY175" s="44">
        <f t="shared" si="43"/>
        <v>0</v>
      </c>
      <c r="BZ175" s="56"/>
      <c r="CA175" s="44">
        <f t="shared" si="44"/>
        <v>24</v>
      </c>
      <c r="CB175" s="56"/>
      <c r="CC175" s="57"/>
      <c r="CD175" s="57"/>
      <c r="CE175" s="57"/>
      <c r="CF175" s="57"/>
      <c r="CG175" s="57"/>
      <c r="CH175" s="57"/>
      <c r="CI175" s="57"/>
      <c r="CJ175" s="57"/>
      <c r="CK175" s="57"/>
    </row>
    <row r="176" spans="1:89" s="49" customFormat="1" ht="15.75" customHeight="1" x14ac:dyDescent="0.25">
      <c r="A176" s="40" t="s">
        <v>531</v>
      </c>
      <c r="B176" s="46" t="s">
        <v>89</v>
      </c>
      <c r="C176" s="53">
        <v>-33489947</v>
      </c>
      <c r="D176" s="59">
        <v>-70632479</v>
      </c>
      <c r="E176" s="54" t="s">
        <v>623</v>
      </c>
      <c r="F176" s="54">
        <v>-33493157</v>
      </c>
      <c r="G176" s="54">
        <v>-70631054</v>
      </c>
      <c r="H176" s="54" t="s">
        <v>624</v>
      </c>
      <c r="I176" s="54">
        <v>0</v>
      </c>
      <c r="J176" s="54">
        <v>0</v>
      </c>
      <c r="K176" s="54">
        <v>0</v>
      </c>
      <c r="L176" s="54">
        <v>1</v>
      </c>
      <c r="M176" s="54">
        <v>1</v>
      </c>
      <c r="N176" s="54">
        <v>1</v>
      </c>
      <c r="O176" s="54">
        <v>1</v>
      </c>
      <c r="P176" s="54">
        <v>0</v>
      </c>
      <c r="Q176" s="54">
        <v>1</v>
      </c>
      <c r="R176" s="54">
        <v>0</v>
      </c>
      <c r="S176" s="54">
        <v>1</v>
      </c>
      <c r="T176" s="54">
        <v>1</v>
      </c>
      <c r="U176" s="54">
        <v>0</v>
      </c>
      <c r="V176" s="54">
        <v>0</v>
      </c>
      <c r="W176" s="54">
        <v>1</v>
      </c>
      <c r="X176" s="54">
        <v>1</v>
      </c>
      <c r="Y176" s="54">
        <v>0</v>
      </c>
      <c r="Z176" s="54">
        <v>0</v>
      </c>
      <c r="AA176" s="54">
        <v>0</v>
      </c>
      <c r="AB176" s="54">
        <v>0</v>
      </c>
      <c r="AC176" s="54">
        <v>1</v>
      </c>
      <c r="AD176" s="54">
        <v>1</v>
      </c>
      <c r="AE176" s="54">
        <v>0</v>
      </c>
      <c r="AF176" s="54">
        <v>1</v>
      </c>
      <c r="AG176" s="54">
        <v>1</v>
      </c>
      <c r="AH176" s="54">
        <v>0</v>
      </c>
      <c r="AI176" s="54">
        <v>0</v>
      </c>
      <c r="AJ176" s="54">
        <v>0</v>
      </c>
      <c r="AK176" s="46">
        <f t="shared" si="35"/>
        <v>13</v>
      </c>
      <c r="AL176" s="46"/>
      <c r="AM176" s="54">
        <v>1</v>
      </c>
      <c r="AN176" s="54">
        <v>1</v>
      </c>
      <c r="AO176" s="54">
        <v>1</v>
      </c>
      <c r="AP176" s="54">
        <v>1</v>
      </c>
      <c r="AQ176" s="54">
        <v>1</v>
      </c>
      <c r="AR176" s="54">
        <v>0</v>
      </c>
      <c r="AS176" s="54">
        <v>1</v>
      </c>
      <c r="AT176" s="54">
        <v>0</v>
      </c>
      <c r="AU176" s="54">
        <v>0</v>
      </c>
      <c r="AV176" s="54">
        <v>0</v>
      </c>
      <c r="AW176" s="54">
        <v>1</v>
      </c>
      <c r="AX176" s="54">
        <v>1</v>
      </c>
      <c r="AY176" s="54">
        <v>1</v>
      </c>
      <c r="AZ176" s="46">
        <f t="shared" si="36"/>
        <v>9</v>
      </c>
      <c r="BA176" s="46"/>
      <c r="BB176" s="54">
        <v>0</v>
      </c>
      <c r="BC176" s="54">
        <v>0</v>
      </c>
      <c r="BD176" s="54">
        <v>0</v>
      </c>
      <c r="BE176" s="54">
        <v>0</v>
      </c>
      <c r="BF176" s="54">
        <v>0</v>
      </c>
      <c r="BG176" s="54">
        <v>0</v>
      </c>
      <c r="BH176" s="54">
        <v>0</v>
      </c>
      <c r="BI176" s="54">
        <v>0</v>
      </c>
      <c r="BJ176" s="46">
        <f t="shared" si="37"/>
        <v>0</v>
      </c>
      <c r="BK176" s="50"/>
      <c r="BL176" s="54">
        <v>0</v>
      </c>
      <c r="BM176" s="54">
        <v>0</v>
      </c>
      <c r="BN176" s="54">
        <v>0</v>
      </c>
      <c r="BO176" s="54">
        <v>0</v>
      </c>
      <c r="BP176" s="54">
        <v>0</v>
      </c>
      <c r="BQ176" s="54">
        <v>0</v>
      </c>
      <c r="BR176" s="54">
        <v>0</v>
      </c>
      <c r="BS176" s="47">
        <f t="shared" si="38"/>
        <v>0</v>
      </c>
      <c r="BT176" s="46"/>
      <c r="BU176" s="44">
        <f t="shared" si="39"/>
        <v>13</v>
      </c>
      <c r="BV176" s="44">
        <f t="shared" si="40"/>
        <v>9</v>
      </c>
      <c r="BW176" s="44">
        <f t="shared" si="41"/>
        <v>22</v>
      </c>
      <c r="BX176" s="44">
        <f t="shared" si="42"/>
        <v>0</v>
      </c>
      <c r="BY176" s="44">
        <f t="shared" si="43"/>
        <v>0</v>
      </c>
      <c r="BZ176" s="56"/>
      <c r="CA176" s="44">
        <f t="shared" si="44"/>
        <v>22</v>
      </c>
      <c r="CB176" s="56"/>
    </row>
    <row r="177" spans="1:100" s="49" customFormat="1" ht="15.75" customHeight="1" x14ac:dyDescent="0.25">
      <c r="A177" s="40" t="s">
        <v>531</v>
      </c>
      <c r="B177" s="46" t="s">
        <v>89</v>
      </c>
      <c r="C177" s="53">
        <v>-33489947</v>
      </c>
      <c r="D177" s="59">
        <v>-70632479</v>
      </c>
      <c r="E177" s="54" t="s">
        <v>625</v>
      </c>
      <c r="F177" s="54">
        <v>-33493624</v>
      </c>
      <c r="G177" s="54">
        <v>-70631058</v>
      </c>
      <c r="H177" s="54" t="s">
        <v>626</v>
      </c>
      <c r="I177" s="54">
        <v>0</v>
      </c>
      <c r="J177" s="54">
        <v>0</v>
      </c>
      <c r="K177" s="54">
        <v>0</v>
      </c>
      <c r="L177" s="54">
        <v>0</v>
      </c>
      <c r="M177" s="54">
        <v>0</v>
      </c>
      <c r="N177" s="54">
        <v>1</v>
      </c>
      <c r="O177" s="54">
        <v>0</v>
      </c>
      <c r="P177" s="54">
        <v>0</v>
      </c>
      <c r="Q177" s="54">
        <v>1</v>
      </c>
      <c r="R177" s="54">
        <v>0</v>
      </c>
      <c r="S177" s="54">
        <v>0</v>
      </c>
      <c r="T177" s="54">
        <v>1</v>
      </c>
      <c r="U177" s="54">
        <v>1</v>
      </c>
      <c r="V177" s="54">
        <v>0</v>
      </c>
      <c r="W177" s="54">
        <v>0</v>
      </c>
      <c r="X177" s="54">
        <v>1</v>
      </c>
      <c r="Y177" s="54">
        <v>0</v>
      </c>
      <c r="Z177" s="54">
        <v>0</v>
      </c>
      <c r="AA177" s="54">
        <v>0</v>
      </c>
      <c r="AB177" s="54">
        <v>0</v>
      </c>
      <c r="AC177" s="54">
        <v>1</v>
      </c>
      <c r="AD177" s="54">
        <v>1</v>
      </c>
      <c r="AE177" s="54">
        <v>0</v>
      </c>
      <c r="AF177" s="54">
        <v>1</v>
      </c>
      <c r="AG177" s="54">
        <v>1</v>
      </c>
      <c r="AH177" s="54">
        <v>0</v>
      </c>
      <c r="AI177" s="54">
        <v>0</v>
      </c>
      <c r="AJ177" s="54">
        <v>0</v>
      </c>
      <c r="AK177" s="46">
        <f t="shared" si="35"/>
        <v>9</v>
      </c>
      <c r="AL177" s="46"/>
      <c r="AM177" s="54">
        <v>0</v>
      </c>
      <c r="AN177" s="54">
        <v>0</v>
      </c>
      <c r="AO177" s="54">
        <v>1</v>
      </c>
      <c r="AP177" s="54">
        <v>0</v>
      </c>
      <c r="AQ177" s="54">
        <v>0</v>
      </c>
      <c r="AR177" s="54">
        <v>0</v>
      </c>
      <c r="AS177" s="54">
        <v>0</v>
      </c>
      <c r="AT177" s="54">
        <v>0</v>
      </c>
      <c r="AU177" s="54">
        <v>0</v>
      </c>
      <c r="AV177" s="54">
        <v>0</v>
      </c>
      <c r="AW177" s="54">
        <v>1</v>
      </c>
      <c r="AX177" s="54">
        <v>0</v>
      </c>
      <c r="AY177" s="54">
        <v>0</v>
      </c>
      <c r="AZ177" s="46">
        <f t="shared" si="36"/>
        <v>2</v>
      </c>
      <c r="BA177" s="46"/>
      <c r="BB177" s="54">
        <v>0</v>
      </c>
      <c r="BC177" s="54">
        <v>0</v>
      </c>
      <c r="BD177" s="54">
        <v>0</v>
      </c>
      <c r="BE177" s="54">
        <v>0</v>
      </c>
      <c r="BF177" s="54">
        <v>0</v>
      </c>
      <c r="BG177" s="54">
        <v>1</v>
      </c>
      <c r="BH177" s="54">
        <v>0</v>
      </c>
      <c r="BI177" s="54">
        <v>0</v>
      </c>
      <c r="BJ177" s="46">
        <f t="shared" si="37"/>
        <v>1</v>
      </c>
      <c r="BK177" s="50"/>
      <c r="BL177" s="54">
        <v>0</v>
      </c>
      <c r="BM177" s="54">
        <v>0</v>
      </c>
      <c r="BN177" s="54">
        <v>0</v>
      </c>
      <c r="BO177" s="54">
        <v>0</v>
      </c>
      <c r="BP177" s="54">
        <v>0</v>
      </c>
      <c r="BQ177" s="54">
        <v>0</v>
      </c>
      <c r="BR177" s="54">
        <v>0</v>
      </c>
      <c r="BS177" s="47">
        <f t="shared" si="38"/>
        <v>0</v>
      </c>
      <c r="BT177" s="46"/>
      <c r="BU177" s="44">
        <f t="shared" si="39"/>
        <v>9</v>
      </c>
      <c r="BV177" s="44">
        <f t="shared" si="40"/>
        <v>2</v>
      </c>
      <c r="BW177" s="44">
        <f t="shared" si="41"/>
        <v>11</v>
      </c>
      <c r="BX177" s="44">
        <f t="shared" si="42"/>
        <v>1</v>
      </c>
      <c r="BY177" s="44">
        <f t="shared" si="43"/>
        <v>0</v>
      </c>
      <c r="BZ177" s="56"/>
      <c r="CA177" s="44">
        <f t="shared" si="44"/>
        <v>12</v>
      </c>
      <c r="CB177" s="56"/>
    </row>
    <row r="178" spans="1:100" s="49" customFormat="1" ht="15.75" customHeight="1" x14ac:dyDescent="0.25">
      <c r="A178" s="40" t="s">
        <v>531</v>
      </c>
      <c r="B178" s="46" t="s">
        <v>89</v>
      </c>
      <c r="C178" s="53">
        <v>-33489947</v>
      </c>
      <c r="D178" s="59">
        <v>-70632479</v>
      </c>
      <c r="E178" s="54" t="s">
        <v>627</v>
      </c>
      <c r="F178" s="54">
        <v>-33493656</v>
      </c>
      <c r="G178" s="54">
        <v>-70631029</v>
      </c>
      <c r="H178" s="54" t="s">
        <v>94</v>
      </c>
      <c r="I178" s="54">
        <v>0</v>
      </c>
      <c r="J178" s="54">
        <v>0</v>
      </c>
      <c r="K178" s="54">
        <v>0</v>
      </c>
      <c r="L178" s="54">
        <v>0</v>
      </c>
      <c r="M178" s="54">
        <v>0</v>
      </c>
      <c r="N178" s="54">
        <v>10</v>
      </c>
      <c r="O178" s="54">
        <v>0</v>
      </c>
      <c r="P178" s="54">
        <v>1</v>
      </c>
      <c r="Q178" s="54">
        <v>0</v>
      </c>
      <c r="R178" s="54">
        <v>0</v>
      </c>
      <c r="S178" s="54">
        <v>0</v>
      </c>
      <c r="T178" s="54">
        <v>0</v>
      </c>
      <c r="U178" s="54">
        <v>0</v>
      </c>
      <c r="V178" s="54">
        <v>1</v>
      </c>
      <c r="W178" s="54">
        <v>1</v>
      </c>
      <c r="X178" s="54">
        <v>0</v>
      </c>
      <c r="Y178" s="54">
        <v>0</v>
      </c>
      <c r="Z178" s="54">
        <v>0</v>
      </c>
      <c r="AA178" s="54">
        <v>0</v>
      </c>
      <c r="AB178" s="54">
        <v>0</v>
      </c>
      <c r="AC178" s="54">
        <v>1</v>
      </c>
      <c r="AD178" s="54">
        <v>0</v>
      </c>
      <c r="AE178" s="54">
        <v>0</v>
      </c>
      <c r="AF178" s="54">
        <v>0</v>
      </c>
      <c r="AG178" s="54">
        <v>1</v>
      </c>
      <c r="AH178" s="54">
        <v>0</v>
      </c>
      <c r="AI178" s="54">
        <v>0</v>
      </c>
      <c r="AJ178" s="54">
        <v>0</v>
      </c>
      <c r="AK178" s="46">
        <f t="shared" si="35"/>
        <v>15</v>
      </c>
      <c r="AL178" s="46"/>
      <c r="AM178" s="54">
        <v>1</v>
      </c>
      <c r="AN178" s="54">
        <v>1</v>
      </c>
      <c r="AO178" s="54">
        <v>1</v>
      </c>
      <c r="AP178" s="54">
        <v>1</v>
      </c>
      <c r="AQ178" s="54">
        <v>0</v>
      </c>
      <c r="AR178" s="54">
        <v>0</v>
      </c>
      <c r="AS178" s="54">
        <v>0</v>
      </c>
      <c r="AT178" s="54">
        <v>0</v>
      </c>
      <c r="AU178" s="54">
        <v>0</v>
      </c>
      <c r="AV178" s="54">
        <v>0</v>
      </c>
      <c r="AW178" s="54">
        <v>1</v>
      </c>
      <c r="AX178" s="54">
        <v>1</v>
      </c>
      <c r="AY178" s="54">
        <v>0</v>
      </c>
      <c r="AZ178" s="46">
        <f t="shared" si="36"/>
        <v>6</v>
      </c>
      <c r="BA178" s="46"/>
      <c r="BB178" s="54">
        <v>0</v>
      </c>
      <c r="BC178" s="54">
        <v>0</v>
      </c>
      <c r="BD178" s="54">
        <v>0</v>
      </c>
      <c r="BE178" s="54">
        <v>0</v>
      </c>
      <c r="BF178" s="54">
        <v>0</v>
      </c>
      <c r="BG178" s="54">
        <v>0</v>
      </c>
      <c r="BH178" s="54">
        <v>0</v>
      </c>
      <c r="BI178" s="54">
        <v>0</v>
      </c>
      <c r="BJ178" s="46">
        <f t="shared" si="37"/>
        <v>0</v>
      </c>
      <c r="BK178" s="50"/>
      <c r="BL178" s="54">
        <v>0</v>
      </c>
      <c r="BM178" s="54">
        <v>0</v>
      </c>
      <c r="BN178" s="54">
        <v>0</v>
      </c>
      <c r="BO178" s="54">
        <v>0</v>
      </c>
      <c r="BP178" s="54">
        <v>0</v>
      </c>
      <c r="BQ178" s="54">
        <v>0</v>
      </c>
      <c r="BR178" s="54">
        <v>0</v>
      </c>
      <c r="BS178" s="47">
        <f t="shared" si="38"/>
        <v>0</v>
      </c>
      <c r="BT178" s="46"/>
      <c r="BU178" s="44">
        <f t="shared" si="39"/>
        <v>15</v>
      </c>
      <c r="BV178" s="44">
        <f t="shared" si="40"/>
        <v>6</v>
      </c>
      <c r="BW178" s="44">
        <f t="shared" si="41"/>
        <v>21</v>
      </c>
      <c r="BX178" s="44">
        <f t="shared" si="42"/>
        <v>0</v>
      </c>
      <c r="BY178" s="44">
        <f t="shared" si="43"/>
        <v>0</v>
      </c>
      <c r="BZ178" s="56"/>
      <c r="CA178" s="44">
        <f t="shared" si="44"/>
        <v>21</v>
      </c>
      <c r="CB178" s="56"/>
      <c r="CC178" s="57"/>
      <c r="CD178" s="57"/>
      <c r="CE178" s="57"/>
      <c r="CF178" s="57"/>
      <c r="CG178" s="57"/>
      <c r="CH178" s="57"/>
      <c r="CI178" s="57"/>
      <c r="CJ178" s="57"/>
      <c r="CK178" s="57"/>
    </row>
    <row r="179" spans="1:100" s="49" customFormat="1" ht="15.75" customHeight="1" x14ac:dyDescent="0.25">
      <c r="A179" s="40" t="s">
        <v>531</v>
      </c>
      <c r="B179" s="46" t="s">
        <v>89</v>
      </c>
      <c r="C179" s="53">
        <v>-33489947</v>
      </c>
      <c r="D179" s="59">
        <v>-70632479</v>
      </c>
      <c r="E179" s="54" t="s">
        <v>628</v>
      </c>
      <c r="F179" s="54">
        <v>-33493113</v>
      </c>
      <c r="G179" s="54">
        <v>-70631679</v>
      </c>
      <c r="H179" s="54" t="s">
        <v>629</v>
      </c>
      <c r="I179" s="54">
        <v>1</v>
      </c>
      <c r="J179" s="54">
        <v>0</v>
      </c>
      <c r="K179" s="54">
        <v>0</v>
      </c>
      <c r="L179" s="54">
        <v>1</v>
      </c>
      <c r="M179" s="54">
        <v>1</v>
      </c>
      <c r="N179" s="54">
        <v>1</v>
      </c>
      <c r="O179" s="54">
        <v>1</v>
      </c>
      <c r="P179" s="54">
        <v>0</v>
      </c>
      <c r="Q179" s="54">
        <v>1</v>
      </c>
      <c r="R179" s="54">
        <v>0</v>
      </c>
      <c r="S179" s="54">
        <v>1</v>
      </c>
      <c r="T179" s="54">
        <v>1</v>
      </c>
      <c r="U179" s="54">
        <v>0</v>
      </c>
      <c r="V179" s="54">
        <v>0</v>
      </c>
      <c r="W179" s="54">
        <v>1</v>
      </c>
      <c r="X179" s="54">
        <v>1</v>
      </c>
      <c r="Y179" s="54">
        <v>0</v>
      </c>
      <c r="Z179" s="54">
        <v>0</v>
      </c>
      <c r="AA179" s="54">
        <v>0</v>
      </c>
      <c r="AB179" s="54">
        <v>0</v>
      </c>
      <c r="AC179" s="54">
        <v>1</v>
      </c>
      <c r="AD179" s="54">
        <v>1</v>
      </c>
      <c r="AE179" s="54">
        <v>0</v>
      </c>
      <c r="AF179" s="54">
        <v>0</v>
      </c>
      <c r="AG179" s="54">
        <v>1</v>
      </c>
      <c r="AH179" s="54">
        <v>1</v>
      </c>
      <c r="AI179" s="54">
        <v>0</v>
      </c>
      <c r="AJ179" s="54">
        <v>0</v>
      </c>
      <c r="AK179" s="46">
        <f t="shared" si="35"/>
        <v>14</v>
      </c>
      <c r="AL179" s="46"/>
      <c r="AM179" s="54">
        <v>1</v>
      </c>
      <c r="AN179" s="54">
        <v>1</v>
      </c>
      <c r="AO179" s="54">
        <v>1</v>
      </c>
      <c r="AP179" s="54">
        <v>1</v>
      </c>
      <c r="AQ179" s="54">
        <v>1</v>
      </c>
      <c r="AR179" s="54">
        <v>0</v>
      </c>
      <c r="AS179" s="54">
        <v>1</v>
      </c>
      <c r="AT179" s="54">
        <v>0</v>
      </c>
      <c r="AU179" s="54">
        <v>0</v>
      </c>
      <c r="AV179" s="54">
        <v>0</v>
      </c>
      <c r="AW179" s="54">
        <v>1</v>
      </c>
      <c r="AX179" s="54">
        <v>1</v>
      </c>
      <c r="AY179" s="54">
        <v>1</v>
      </c>
      <c r="AZ179" s="46">
        <f t="shared" si="36"/>
        <v>9</v>
      </c>
      <c r="BA179" s="46"/>
      <c r="BB179" s="54">
        <v>0</v>
      </c>
      <c r="BC179" s="54">
        <v>0</v>
      </c>
      <c r="BD179" s="54">
        <v>0</v>
      </c>
      <c r="BE179" s="54">
        <v>0</v>
      </c>
      <c r="BF179" s="54">
        <v>0</v>
      </c>
      <c r="BG179" s="54">
        <v>0</v>
      </c>
      <c r="BH179" s="54">
        <v>0</v>
      </c>
      <c r="BI179" s="54">
        <v>0</v>
      </c>
      <c r="BJ179" s="46">
        <f t="shared" si="37"/>
        <v>0</v>
      </c>
      <c r="BK179" s="50"/>
      <c r="BL179" s="54">
        <v>0</v>
      </c>
      <c r="BM179" s="54">
        <v>0</v>
      </c>
      <c r="BN179" s="54">
        <v>0</v>
      </c>
      <c r="BO179" s="54">
        <v>0</v>
      </c>
      <c r="BP179" s="54">
        <v>0</v>
      </c>
      <c r="BQ179" s="54">
        <v>0</v>
      </c>
      <c r="BR179" s="54">
        <v>0</v>
      </c>
      <c r="BS179" s="47">
        <f t="shared" si="38"/>
        <v>0</v>
      </c>
      <c r="BT179" s="46"/>
      <c r="BU179" s="44">
        <f t="shared" si="39"/>
        <v>14</v>
      </c>
      <c r="BV179" s="44">
        <f t="shared" si="40"/>
        <v>9</v>
      </c>
      <c r="BW179" s="44">
        <f t="shared" si="41"/>
        <v>23</v>
      </c>
      <c r="BX179" s="44">
        <f t="shared" si="42"/>
        <v>0</v>
      </c>
      <c r="BY179" s="44">
        <f t="shared" si="43"/>
        <v>0</v>
      </c>
      <c r="BZ179" s="56"/>
      <c r="CA179" s="44">
        <f t="shared" si="44"/>
        <v>23</v>
      </c>
      <c r="CB179" s="56"/>
      <c r="CC179" s="57"/>
      <c r="CD179" s="57"/>
      <c r="CE179" s="57"/>
      <c r="CF179" s="57"/>
      <c r="CG179" s="57"/>
      <c r="CH179" s="57"/>
      <c r="CI179" s="57"/>
      <c r="CJ179" s="57"/>
      <c r="CK179" s="57"/>
    </row>
    <row r="180" spans="1:100" s="49" customFormat="1" ht="15.75" customHeight="1" x14ac:dyDescent="0.25">
      <c r="A180" s="40" t="s">
        <v>531</v>
      </c>
      <c r="B180" s="46" t="s">
        <v>89</v>
      </c>
      <c r="C180" s="53">
        <v>-33489947</v>
      </c>
      <c r="D180" s="59">
        <v>-70632479</v>
      </c>
      <c r="E180" s="54" t="s">
        <v>630</v>
      </c>
      <c r="F180" s="54">
        <v>-33493037</v>
      </c>
      <c r="G180" s="54">
        <v>-7063343</v>
      </c>
      <c r="H180" s="54" t="s">
        <v>631</v>
      </c>
      <c r="I180" s="54">
        <v>0</v>
      </c>
      <c r="J180" s="54">
        <v>0</v>
      </c>
      <c r="K180" s="54">
        <v>0</v>
      </c>
      <c r="L180" s="54">
        <v>1</v>
      </c>
      <c r="M180" s="54">
        <v>1</v>
      </c>
      <c r="N180" s="54">
        <v>1</v>
      </c>
      <c r="O180" s="54">
        <v>1</v>
      </c>
      <c r="P180" s="54">
        <v>0</v>
      </c>
      <c r="Q180" s="54">
        <v>1</v>
      </c>
      <c r="R180" s="54">
        <v>1</v>
      </c>
      <c r="S180" s="54">
        <v>1</v>
      </c>
      <c r="T180" s="54">
        <v>1</v>
      </c>
      <c r="U180" s="54">
        <v>1</v>
      </c>
      <c r="V180" s="54">
        <v>0</v>
      </c>
      <c r="W180" s="54">
        <v>1</v>
      </c>
      <c r="X180" s="54">
        <v>1</v>
      </c>
      <c r="Y180" s="54">
        <v>0</v>
      </c>
      <c r="Z180" s="54">
        <v>0</v>
      </c>
      <c r="AA180" s="54">
        <v>0</v>
      </c>
      <c r="AB180" s="54">
        <v>0</v>
      </c>
      <c r="AC180" s="54">
        <v>1</v>
      </c>
      <c r="AD180" s="54">
        <v>1</v>
      </c>
      <c r="AE180" s="54">
        <v>0</v>
      </c>
      <c r="AF180" s="54">
        <v>1</v>
      </c>
      <c r="AG180" s="54">
        <v>1</v>
      </c>
      <c r="AH180" s="54">
        <v>1</v>
      </c>
      <c r="AI180" s="54">
        <v>0</v>
      </c>
      <c r="AJ180" s="54">
        <v>0</v>
      </c>
      <c r="AK180" s="46">
        <f t="shared" si="35"/>
        <v>16</v>
      </c>
      <c r="AL180" s="46"/>
      <c r="AM180" s="54">
        <v>1</v>
      </c>
      <c r="AN180" s="54">
        <v>1</v>
      </c>
      <c r="AO180" s="54">
        <v>1</v>
      </c>
      <c r="AP180" s="54">
        <v>1</v>
      </c>
      <c r="AQ180" s="54">
        <v>1</v>
      </c>
      <c r="AR180" s="54">
        <v>0</v>
      </c>
      <c r="AS180" s="54">
        <v>1</v>
      </c>
      <c r="AT180" s="54">
        <v>0</v>
      </c>
      <c r="AU180" s="54">
        <v>0</v>
      </c>
      <c r="AV180" s="54">
        <v>0</v>
      </c>
      <c r="AW180" s="54">
        <v>1</v>
      </c>
      <c r="AX180" s="54">
        <v>1</v>
      </c>
      <c r="AY180" s="54">
        <v>1</v>
      </c>
      <c r="AZ180" s="46">
        <f t="shared" si="36"/>
        <v>9</v>
      </c>
      <c r="BA180" s="46"/>
      <c r="BB180" s="54">
        <v>0</v>
      </c>
      <c r="BC180" s="54">
        <v>0</v>
      </c>
      <c r="BD180" s="54">
        <v>0</v>
      </c>
      <c r="BE180" s="54">
        <v>0</v>
      </c>
      <c r="BF180" s="54">
        <v>0</v>
      </c>
      <c r="BG180" s="54">
        <v>0</v>
      </c>
      <c r="BH180" s="54">
        <v>0</v>
      </c>
      <c r="BI180" s="54">
        <v>0</v>
      </c>
      <c r="BJ180" s="46">
        <f t="shared" si="37"/>
        <v>0</v>
      </c>
      <c r="BK180" s="50"/>
      <c r="BL180" s="54">
        <v>0</v>
      </c>
      <c r="BM180" s="54">
        <v>0</v>
      </c>
      <c r="BN180" s="54">
        <v>0</v>
      </c>
      <c r="BO180" s="54">
        <v>0</v>
      </c>
      <c r="BP180" s="54">
        <v>0</v>
      </c>
      <c r="BQ180" s="54">
        <v>0</v>
      </c>
      <c r="BR180" s="54">
        <v>0</v>
      </c>
      <c r="BS180" s="47">
        <f t="shared" si="38"/>
        <v>0</v>
      </c>
      <c r="BT180" s="46"/>
      <c r="BU180" s="44">
        <f t="shared" si="39"/>
        <v>16</v>
      </c>
      <c r="BV180" s="44">
        <f t="shared" si="40"/>
        <v>9</v>
      </c>
      <c r="BW180" s="44">
        <f t="shared" si="41"/>
        <v>25</v>
      </c>
      <c r="BX180" s="44">
        <f t="shared" si="42"/>
        <v>0</v>
      </c>
      <c r="BY180" s="44">
        <f t="shared" si="43"/>
        <v>0</v>
      </c>
      <c r="BZ180" s="56"/>
      <c r="CA180" s="44">
        <f t="shared" si="44"/>
        <v>25</v>
      </c>
      <c r="CB180" s="56"/>
      <c r="CC180" s="57"/>
      <c r="CD180" s="57"/>
      <c r="CE180" s="57"/>
      <c r="CF180" s="57"/>
      <c r="CG180" s="57"/>
      <c r="CH180" s="57"/>
      <c r="CI180" s="57"/>
      <c r="CJ180" s="57"/>
      <c r="CK180" s="57"/>
    </row>
    <row r="181" spans="1:100" s="49" customFormat="1" ht="15.75" customHeight="1" x14ac:dyDescent="0.25">
      <c r="A181" s="40" t="s">
        <v>531</v>
      </c>
      <c r="B181" s="46" t="s">
        <v>89</v>
      </c>
      <c r="C181" s="53">
        <v>-33489947</v>
      </c>
      <c r="D181" s="59">
        <v>-70632479</v>
      </c>
      <c r="E181" s="54" t="s">
        <v>632</v>
      </c>
      <c r="F181" s="54">
        <v>-33493037</v>
      </c>
      <c r="G181" s="54">
        <v>-7063343</v>
      </c>
      <c r="H181" s="54" t="s">
        <v>633</v>
      </c>
      <c r="I181" s="54">
        <v>0</v>
      </c>
      <c r="J181" s="54">
        <v>0</v>
      </c>
      <c r="K181" s="54">
        <v>0</v>
      </c>
      <c r="L181" s="54">
        <v>0</v>
      </c>
      <c r="M181" s="54">
        <v>0</v>
      </c>
      <c r="N181" s="54">
        <v>0</v>
      </c>
      <c r="O181" s="54">
        <v>0</v>
      </c>
      <c r="P181" s="54">
        <v>0</v>
      </c>
      <c r="Q181" s="54">
        <v>0</v>
      </c>
      <c r="R181" s="54">
        <v>0</v>
      </c>
      <c r="S181" s="54">
        <v>0</v>
      </c>
      <c r="T181" s="54">
        <v>0</v>
      </c>
      <c r="U181" s="54">
        <v>1</v>
      </c>
      <c r="V181" s="54">
        <v>0</v>
      </c>
      <c r="W181" s="54">
        <v>0</v>
      </c>
      <c r="X181" s="54">
        <v>1</v>
      </c>
      <c r="Y181" s="54">
        <v>0</v>
      </c>
      <c r="Z181" s="54">
        <v>0</v>
      </c>
      <c r="AA181" s="54">
        <v>0</v>
      </c>
      <c r="AB181" s="54">
        <v>0</v>
      </c>
      <c r="AC181" s="54">
        <v>1</v>
      </c>
      <c r="AD181" s="54">
        <v>0</v>
      </c>
      <c r="AE181" s="54">
        <v>0</v>
      </c>
      <c r="AF181" s="54">
        <v>0</v>
      </c>
      <c r="AG181" s="54">
        <v>0</v>
      </c>
      <c r="AH181" s="54">
        <v>0</v>
      </c>
      <c r="AI181" s="54">
        <v>0</v>
      </c>
      <c r="AJ181" s="54">
        <v>0</v>
      </c>
      <c r="AK181" s="46">
        <f t="shared" si="35"/>
        <v>3</v>
      </c>
      <c r="AL181" s="46"/>
      <c r="AM181" s="54">
        <v>1</v>
      </c>
      <c r="AN181" s="54">
        <v>1</v>
      </c>
      <c r="AO181" s="54">
        <v>1</v>
      </c>
      <c r="AP181" s="54">
        <v>1</v>
      </c>
      <c r="AQ181" s="54">
        <v>0</v>
      </c>
      <c r="AR181" s="54">
        <v>0</v>
      </c>
      <c r="AS181" s="54">
        <v>0</v>
      </c>
      <c r="AT181" s="54">
        <v>0</v>
      </c>
      <c r="AU181" s="54">
        <v>0</v>
      </c>
      <c r="AV181" s="54">
        <v>0</v>
      </c>
      <c r="AW181" s="54">
        <v>1</v>
      </c>
      <c r="AX181" s="54">
        <v>0</v>
      </c>
      <c r="AY181" s="54">
        <v>0</v>
      </c>
      <c r="AZ181" s="46">
        <f t="shared" si="36"/>
        <v>5</v>
      </c>
      <c r="BA181" s="46"/>
      <c r="BB181" s="54">
        <v>0</v>
      </c>
      <c r="BC181" s="54">
        <v>0</v>
      </c>
      <c r="BD181" s="54">
        <v>0</v>
      </c>
      <c r="BE181" s="54">
        <v>0</v>
      </c>
      <c r="BF181" s="54">
        <v>0</v>
      </c>
      <c r="BG181" s="54">
        <v>1</v>
      </c>
      <c r="BH181" s="54">
        <v>0</v>
      </c>
      <c r="BI181" s="54">
        <v>0</v>
      </c>
      <c r="BJ181" s="46">
        <f t="shared" si="37"/>
        <v>1</v>
      </c>
      <c r="BK181" s="50"/>
      <c r="BL181" s="54">
        <v>0</v>
      </c>
      <c r="BM181" s="54">
        <v>0</v>
      </c>
      <c r="BN181" s="54">
        <v>0</v>
      </c>
      <c r="BO181" s="54">
        <v>0</v>
      </c>
      <c r="BP181" s="54">
        <v>0</v>
      </c>
      <c r="BQ181" s="54">
        <v>0</v>
      </c>
      <c r="BR181" s="54">
        <v>0</v>
      </c>
      <c r="BS181" s="47">
        <f t="shared" si="38"/>
        <v>0</v>
      </c>
      <c r="BT181" s="46"/>
      <c r="BU181" s="44">
        <f t="shared" si="39"/>
        <v>3</v>
      </c>
      <c r="BV181" s="44">
        <f t="shared" si="40"/>
        <v>5</v>
      </c>
      <c r="BW181" s="44">
        <f t="shared" si="41"/>
        <v>8</v>
      </c>
      <c r="BX181" s="44">
        <f t="shared" si="42"/>
        <v>1</v>
      </c>
      <c r="BY181" s="44">
        <f t="shared" si="43"/>
        <v>0</v>
      </c>
      <c r="BZ181" s="56"/>
      <c r="CA181" s="44">
        <f t="shared" si="44"/>
        <v>9</v>
      </c>
      <c r="CB181" s="56"/>
    </row>
    <row r="182" spans="1:100" s="49" customFormat="1" ht="15.75" customHeight="1" x14ac:dyDescent="0.25">
      <c r="A182" s="40" t="s">
        <v>531</v>
      </c>
      <c r="B182" s="46" t="s">
        <v>89</v>
      </c>
      <c r="C182" s="53">
        <v>-33489947</v>
      </c>
      <c r="D182" s="59">
        <v>-70632479</v>
      </c>
      <c r="E182" s="54" t="s">
        <v>634</v>
      </c>
      <c r="F182" s="54">
        <v>-33493467</v>
      </c>
      <c r="G182" s="54">
        <v>-70633344</v>
      </c>
      <c r="H182" s="54" t="s">
        <v>635</v>
      </c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46">
        <f t="shared" si="35"/>
        <v>0</v>
      </c>
      <c r="AL182" s="46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46">
        <f t="shared" si="36"/>
        <v>0</v>
      </c>
      <c r="BA182" s="46"/>
      <c r="BB182" s="54"/>
      <c r="BC182" s="54"/>
      <c r="BD182" s="54"/>
      <c r="BE182" s="54"/>
      <c r="BF182" s="54"/>
      <c r="BG182" s="54"/>
      <c r="BH182" s="54"/>
      <c r="BI182" s="54"/>
      <c r="BJ182" s="46">
        <f t="shared" si="37"/>
        <v>0</v>
      </c>
      <c r="BK182" s="50"/>
      <c r="BL182" s="54"/>
      <c r="BM182" s="54"/>
      <c r="BN182" s="54"/>
      <c r="BO182" s="54"/>
      <c r="BP182" s="54"/>
      <c r="BQ182" s="54"/>
      <c r="BR182" s="54"/>
      <c r="BS182" s="47">
        <f t="shared" si="38"/>
        <v>0</v>
      </c>
      <c r="BT182" s="46"/>
      <c r="BU182" s="44">
        <f t="shared" si="39"/>
        <v>0</v>
      </c>
      <c r="BV182" s="44">
        <f t="shared" si="40"/>
        <v>0</v>
      </c>
      <c r="BW182" s="44">
        <f t="shared" si="41"/>
        <v>0</v>
      </c>
      <c r="BX182" s="44">
        <f t="shared" si="42"/>
        <v>0</v>
      </c>
      <c r="BY182" s="44">
        <f t="shared" si="43"/>
        <v>0</v>
      </c>
      <c r="BZ182" s="56"/>
      <c r="CA182" s="44">
        <f t="shared" si="44"/>
        <v>0</v>
      </c>
      <c r="CB182" s="56"/>
    </row>
    <row r="183" spans="1:100" s="49" customFormat="1" ht="15.75" customHeight="1" x14ac:dyDescent="0.25">
      <c r="A183" s="40" t="s">
        <v>531</v>
      </c>
      <c r="B183" s="46" t="s">
        <v>89</v>
      </c>
      <c r="C183" s="53">
        <v>-33489947</v>
      </c>
      <c r="D183" s="59">
        <v>-70632479</v>
      </c>
      <c r="E183" s="54" t="s">
        <v>636</v>
      </c>
      <c r="F183" s="54">
        <v>-33492588</v>
      </c>
      <c r="G183" s="54">
        <v>-70633401</v>
      </c>
      <c r="H183" s="54" t="s">
        <v>94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46">
        <f t="shared" si="35"/>
        <v>0</v>
      </c>
      <c r="AL183" s="46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46">
        <f t="shared" si="36"/>
        <v>0</v>
      </c>
      <c r="BA183" s="46"/>
      <c r="BB183" s="54"/>
      <c r="BC183" s="54"/>
      <c r="BD183" s="54"/>
      <c r="BE183" s="54"/>
      <c r="BF183" s="54"/>
      <c r="BG183" s="54"/>
      <c r="BH183" s="54"/>
      <c r="BI183" s="54"/>
      <c r="BJ183" s="46">
        <f t="shared" si="37"/>
        <v>0</v>
      </c>
      <c r="BK183" s="50"/>
      <c r="BL183" s="54"/>
      <c r="BM183" s="54"/>
      <c r="BN183" s="54"/>
      <c r="BO183" s="54"/>
      <c r="BP183" s="54"/>
      <c r="BQ183" s="54"/>
      <c r="BR183" s="54"/>
      <c r="BS183" s="47">
        <f t="shared" si="38"/>
        <v>0</v>
      </c>
      <c r="BT183" s="46"/>
      <c r="BU183" s="44">
        <f t="shared" si="39"/>
        <v>0</v>
      </c>
      <c r="BV183" s="44">
        <f t="shared" si="40"/>
        <v>0</v>
      </c>
      <c r="BW183" s="44">
        <f t="shared" si="41"/>
        <v>0</v>
      </c>
      <c r="BX183" s="44">
        <f t="shared" si="42"/>
        <v>0</v>
      </c>
      <c r="BY183" s="44">
        <f t="shared" si="43"/>
        <v>0</v>
      </c>
      <c r="BZ183" s="56"/>
      <c r="CA183" s="44">
        <f t="shared" si="44"/>
        <v>0</v>
      </c>
      <c r="CB183" s="56"/>
    </row>
    <row r="184" spans="1:100" s="49" customFormat="1" ht="15.75" customHeight="1" x14ac:dyDescent="0.25">
      <c r="A184" s="40" t="s">
        <v>531</v>
      </c>
      <c r="B184" s="46" t="s">
        <v>89</v>
      </c>
      <c r="C184" s="53">
        <v>-33489947</v>
      </c>
      <c r="D184" s="59">
        <v>-70632479</v>
      </c>
      <c r="E184" s="54" t="s">
        <v>637</v>
      </c>
      <c r="F184" s="54">
        <v>-33490978</v>
      </c>
      <c r="G184" s="54">
        <v>-70631133</v>
      </c>
      <c r="H184" s="54" t="s">
        <v>638</v>
      </c>
      <c r="I184" s="54">
        <v>0</v>
      </c>
      <c r="J184" s="54">
        <v>0</v>
      </c>
      <c r="K184" s="54">
        <v>0</v>
      </c>
      <c r="L184" s="54">
        <v>0</v>
      </c>
      <c r="M184" s="54">
        <v>1</v>
      </c>
      <c r="N184" s="54">
        <v>1</v>
      </c>
      <c r="O184" s="54">
        <v>0</v>
      </c>
      <c r="P184" s="54">
        <v>0</v>
      </c>
      <c r="Q184" s="54">
        <v>1</v>
      </c>
      <c r="R184" s="54">
        <v>0</v>
      </c>
      <c r="S184" s="54">
        <v>1</v>
      </c>
      <c r="T184" s="54">
        <v>0</v>
      </c>
      <c r="U184" s="54">
        <v>1</v>
      </c>
      <c r="V184" s="54">
        <v>0</v>
      </c>
      <c r="W184" s="54">
        <v>1</v>
      </c>
      <c r="X184" s="54">
        <v>1</v>
      </c>
      <c r="Y184" s="54">
        <v>0</v>
      </c>
      <c r="Z184" s="54">
        <v>0</v>
      </c>
      <c r="AA184" s="54">
        <v>0</v>
      </c>
      <c r="AB184" s="54">
        <v>0</v>
      </c>
      <c r="AC184" s="54">
        <v>1</v>
      </c>
      <c r="AD184" s="54">
        <v>0</v>
      </c>
      <c r="AE184" s="54">
        <v>0</v>
      </c>
      <c r="AF184" s="54">
        <v>0</v>
      </c>
      <c r="AG184" s="54">
        <v>1</v>
      </c>
      <c r="AH184" s="54">
        <v>0</v>
      </c>
      <c r="AI184" s="54">
        <v>0</v>
      </c>
      <c r="AJ184" s="54">
        <v>0</v>
      </c>
      <c r="AK184" s="46">
        <f t="shared" si="35"/>
        <v>9</v>
      </c>
      <c r="AL184" s="46"/>
      <c r="AM184" s="54">
        <v>1</v>
      </c>
      <c r="AN184" s="54">
        <v>1</v>
      </c>
      <c r="AO184" s="54">
        <v>1</v>
      </c>
      <c r="AP184" s="54">
        <v>0</v>
      </c>
      <c r="AQ184" s="54">
        <v>0</v>
      </c>
      <c r="AR184" s="54">
        <v>0</v>
      </c>
      <c r="AS184" s="54">
        <v>0</v>
      </c>
      <c r="AT184" s="54">
        <v>0</v>
      </c>
      <c r="AU184" s="54">
        <v>0</v>
      </c>
      <c r="AV184" s="54">
        <v>0</v>
      </c>
      <c r="AW184" s="54">
        <v>1</v>
      </c>
      <c r="AX184" s="54">
        <v>0</v>
      </c>
      <c r="AY184" s="54">
        <v>0</v>
      </c>
      <c r="AZ184" s="46">
        <f t="shared" si="36"/>
        <v>4</v>
      </c>
      <c r="BA184" s="46"/>
      <c r="BB184" s="54">
        <v>0</v>
      </c>
      <c r="BC184" s="54">
        <v>0</v>
      </c>
      <c r="BD184" s="54">
        <v>0</v>
      </c>
      <c r="BE184" s="54">
        <v>0</v>
      </c>
      <c r="BF184" s="54">
        <v>0</v>
      </c>
      <c r="BG184" s="54">
        <v>1</v>
      </c>
      <c r="BH184" s="54">
        <v>0</v>
      </c>
      <c r="BI184" s="54">
        <v>0</v>
      </c>
      <c r="BJ184" s="46">
        <f t="shared" si="37"/>
        <v>1</v>
      </c>
      <c r="BK184" s="50"/>
      <c r="BL184" s="54">
        <v>0</v>
      </c>
      <c r="BM184" s="54">
        <v>0</v>
      </c>
      <c r="BN184" s="54">
        <v>0</v>
      </c>
      <c r="BO184" s="54">
        <v>0</v>
      </c>
      <c r="BP184" s="54">
        <v>0</v>
      </c>
      <c r="BQ184" s="54">
        <v>0</v>
      </c>
      <c r="BR184" s="54">
        <v>0</v>
      </c>
      <c r="BS184" s="47">
        <f t="shared" si="38"/>
        <v>0</v>
      </c>
      <c r="BT184" s="46"/>
      <c r="BU184" s="44">
        <f t="shared" si="39"/>
        <v>9</v>
      </c>
      <c r="BV184" s="44">
        <f t="shared" si="40"/>
        <v>4</v>
      </c>
      <c r="BW184" s="44">
        <f t="shared" si="41"/>
        <v>13</v>
      </c>
      <c r="BX184" s="44">
        <f t="shared" si="42"/>
        <v>1</v>
      </c>
      <c r="BY184" s="44">
        <f t="shared" si="43"/>
        <v>0</v>
      </c>
      <c r="BZ184" s="56"/>
      <c r="CA184" s="44">
        <f t="shared" si="44"/>
        <v>14</v>
      </c>
      <c r="CB184" s="56"/>
      <c r="CC184" s="57"/>
      <c r="CD184" s="57"/>
      <c r="CE184" s="57"/>
      <c r="CF184" s="57"/>
      <c r="CG184" s="57"/>
      <c r="CH184" s="57"/>
      <c r="CI184" s="57"/>
      <c r="CJ184" s="57"/>
      <c r="CK184" s="57"/>
    </row>
    <row r="185" spans="1:100" s="49" customFormat="1" ht="15.75" customHeight="1" x14ac:dyDescent="0.25">
      <c r="A185" s="40" t="s">
        <v>531</v>
      </c>
      <c r="B185" s="46" t="s">
        <v>89</v>
      </c>
      <c r="C185" s="53">
        <v>-33489947</v>
      </c>
      <c r="D185" s="59">
        <v>-70632479</v>
      </c>
      <c r="E185" s="54" t="s">
        <v>639</v>
      </c>
      <c r="F185" s="54">
        <v>-33491089</v>
      </c>
      <c r="G185" s="54">
        <v>-70633319</v>
      </c>
      <c r="H185" s="54" t="s">
        <v>640</v>
      </c>
      <c r="I185" s="54">
        <v>0</v>
      </c>
      <c r="J185" s="54">
        <v>0</v>
      </c>
      <c r="K185" s="54">
        <v>0</v>
      </c>
      <c r="L185" s="54">
        <v>1</v>
      </c>
      <c r="M185" s="54">
        <v>1</v>
      </c>
      <c r="N185" s="54">
        <v>1</v>
      </c>
      <c r="O185" s="54">
        <v>0</v>
      </c>
      <c r="P185" s="54">
        <v>0</v>
      </c>
      <c r="Q185" s="54">
        <v>1</v>
      </c>
      <c r="R185" s="54">
        <v>1</v>
      </c>
      <c r="S185" s="54">
        <v>1</v>
      </c>
      <c r="T185" s="54">
        <v>1</v>
      </c>
      <c r="U185" s="54">
        <v>0</v>
      </c>
      <c r="V185" s="54">
        <v>0</v>
      </c>
      <c r="W185" s="54">
        <v>1</v>
      </c>
      <c r="X185" s="54">
        <v>1</v>
      </c>
      <c r="Y185" s="54">
        <v>0</v>
      </c>
      <c r="Z185" s="54">
        <v>0</v>
      </c>
      <c r="AA185" s="54">
        <v>0</v>
      </c>
      <c r="AB185" s="54">
        <v>0</v>
      </c>
      <c r="AC185" s="54">
        <v>1</v>
      </c>
      <c r="AD185" s="54">
        <v>1</v>
      </c>
      <c r="AE185" s="54">
        <v>0</v>
      </c>
      <c r="AF185" s="54">
        <v>1</v>
      </c>
      <c r="AG185" s="54">
        <v>1</v>
      </c>
      <c r="AH185" s="54">
        <v>1</v>
      </c>
      <c r="AI185" s="54">
        <v>0</v>
      </c>
      <c r="AJ185" s="54">
        <v>0</v>
      </c>
      <c r="AK185" s="46">
        <f t="shared" si="35"/>
        <v>14</v>
      </c>
      <c r="AL185" s="46"/>
      <c r="AM185" s="54">
        <v>1</v>
      </c>
      <c r="AN185" s="54">
        <v>1</v>
      </c>
      <c r="AO185" s="54">
        <v>1</v>
      </c>
      <c r="AP185" s="54">
        <v>1</v>
      </c>
      <c r="AQ185" s="54">
        <v>1</v>
      </c>
      <c r="AR185" s="54">
        <v>0</v>
      </c>
      <c r="AS185" s="54">
        <v>1</v>
      </c>
      <c r="AT185" s="54">
        <v>0</v>
      </c>
      <c r="AU185" s="54">
        <v>0</v>
      </c>
      <c r="AV185" s="54">
        <v>0</v>
      </c>
      <c r="AW185" s="54">
        <v>1</v>
      </c>
      <c r="AX185" s="54">
        <v>1</v>
      </c>
      <c r="AY185" s="54">
        <v>1</v>
      </c>
      <c r="AZ185" s="46">
        <f t="shared" si="36"/>
        <v>9</v>
      </c>
      <c r="BA185" s="46"/>
      <c r="BB185" s="54">
        <v>0</v>
      </c>
      <c r="BC185" s="54">
        <v>0</v>
      </c>
      <c r="BD185" s="54">
        <v>0</v>
      </c>
      <c r="BE185" s="54">
        <v>0</v>
      </c>
      <c r="BF185" s="54">
        <v>0</v>
      </c>
      <c r="BG185" s="54">
        <v>0</v>
      </c>
      <c r="BH185" s="54">
        <v>0</v>
      </c>
      <c r="BI185" s="54">
        <v>0</v>
      </c>
      <c r="BJ185" s="46">
        <f t="shared" si="37"/>
        <v>0</v>
      </c>
      <c r="BK185" s="50"/>
      <c r="BL185" s="54">
        <v>0</v>
      </c>
      <c r="BM185" s="54">
        <v>0</v>
      </c>
      <c r="BN185" s="54">
        <v>0</v>
      </c>
      <c r="BO185" s="54">
        <v>0</v>
      </c>
      <c r="BP185" s="54">
        <v>0</v>
      </c>
      <c r="BQ185" s="54">
        <v>0</v>
      </c>
      <c r="BR185" s="54">
        <v>0</v>
      </c>
      <c r="BS185" s="47">
        <f t="shared" si="38"/>
        <v>0</v>
      </c>
      <c r="BT185" s="46"/>
      <c r="BU185" s="44">
        <f t="shared" si="39"/>
        <v>14</v>
      </c>
      <c r="BV185" s="44">
        <f t="shared" si="40"/>
        <v>9</v>
      </c>
      <c r="BW185" s="44">
        <f t="shared" si="41"/>
        <v>23</v>
      </c>
      <c r="BX185" s="44">
        <f t="shared" si="42"/>
        <v>0</v>
      </c>
      <c r="BY185" s="44">
        <f t="shared" si="43"/>
        <v>0</v>
      </c>
      <c r="BZ185" s="56"/>
      <c r="CA185" s="44">
        <f t="shared" si="44"/>
        <v>23</v>
      </c>
      <c r="CB185" s="56"/>
    </row>
    <row r="186" spans="1:100" s="49" customFormat="1" ht="15.75" customHeight="1" x14ac:dyDescent="0.25">
      <c r="A186" s="40" t="s">
        <v>531</v>
      </c>
      <c r="B186" s="46" t="s">
        <v>89</v>
      </c>
      <c r="C186" s="53">
        <v>-33489947</v>
      </c>
      <c r="D186" s="59">
        <v>-70632479</v>
      </c>
      <c r="E186" s="54" t="s">
        <v>641</v>
      </c>
      <c r="F186" s="54">
        <v>-33491408</v>
      </c>
      <c r="G186" s="54">
        <v>-70633353</v>
      </c>
      <c r="H186" s="54" t="s">
        <v>642</v>
      </c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46">
        <f t="shared" si="35"/>
        <v>0</v>
      </c>
      <c r="AL186" s="46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46">
        <f t="shared" si="36"/>
        <v>0</v>
      </c>
      <c r="BA186" s="46"/>
      <c r="BB186" s="54"/>
      <c r="BC186" s="54"/>
      <c r="BD186" s="54"/>
      <c r="BE186" s="54"/>
      <c r="BF186" s="54"/>
      <c r="BG186" s="54"/>
      <c r="BH186" s="54"/>
      <c r="BI186" s="54"/>
      <c r="BJ186" s="46">
        <f t="shared" si="37"/>
        <v>0</v>
      </c>
      <c r="BK186" s="50"/>
      <c r="BL186" s="54"/>
      <c r="BM186" s="54"/>
      <c r="BN186" s="54"/>
      <c r="BO186" s="54"/>
      <c r="BP186" s="54"/>
      <c r="BQ186" s="54"/>
      <c r="BR186" s="54"/>
      <c r="BS186" s="47">
        <f t="shared" si="38"/>
        <v>0</v>
      </c>
      <c r="BT186" s="46"/>
      <c r="BU186" s="44">
        <f t="shared" si="39"/>
        <v>0</v>
      </c>
      <c r="BV186" s="44">
        <f t="shared" si="40"/>
        <v>0</v>
      </c>
      <c r="BW186" s="44">
        <f t="shared" si="41"/>
        <v>0</v>
      </c>
      <c r="BX186" s="44">
        <f t="shared" si="42"/>
        <v>0</v>
      </c>
      <c r="BY186" s="44">
        <f t="shared" si="43"/>
        <v>0</v>
      </c>
      <c r="BZ186" s="56"/>
      <c r="CA186" s="44">
        <f t="shared" si="44"/>
        <v>0</v>
      </c>
      <c r="CB186" s="56"/>
    </row>
    <row r="187" spans="1:100" s="49" customFormat="1" ht="15.75" customHeight="1" x14ac:dyDescent="0.25">
      <c r="A187" s="40" t="s">
        <v>531</v>
      </c>
      <c r="B187" s="46" t="s">
        <v>89</v>
      </c>
      <c r="C187" s="53">
        <v>-33489947</v>
      </c>
      <c r="D187" s="59">
        <v>-70632479</v>
      </c>
      <c r="E187" s="54" t="s">
        <v>643</v>
      </c>
      <c r="F187" s="54">
        <v>-33491443</v>
      </c>
      <c r="G187" s="54">
        <v>-70633685</v>
      </c>
      <c r="H187" s="54" t="s">
        <v>94</v>
      </c>
      <c r="I187" s="54">
        <v>0</v>
      </c>
      <c r="J187" s="54">
        <v>0</v>
      </c>
      <c r="K187" s="54">
        <v>0</v>
      </c>
      <c r="L187" s="54">
        <v>0</v>
      </c>
      <c r="M187" s="54">
        <v>0</v>
      </c>
      <c r="N187" s="54">
        <v>1</v>
      </c>
      <c r="O187" s="54">
        <v>0</v>
      </c>
      <c r="P187" s="54">
        <v>0</v>
      </c>
      <c r="Q187" s="54">
        <v>0</v>
      </c>
      <c r="R187" s="54">
        <v>0</v>
      </c>
      <c r="S187" s="54">
        <v>0</v>
      </c>
      <c r="T187" s="54">
        <v>0</v>
      </c>
      <c r="U187" s="54">
        <v>0</v>
      </c>
      <c r="V187" s="54">
        <v>0</v>
      </c>
      <c r="W187" s="54">
        <v>0</v>
      </c>
      <c r="X187" s="54">
        <v>0</v>
      </c>
      <c r="Y187" s="54">
        <v>0</v>
      </c>
      <c r="Z187" s="54">
        <v>0</v>
      </c>
      <c r="AA187" s="54">
        <v>0</v>
      </c>
      <c r="AB187" s="54">
        <v>0</v>
      </c>
      <c r="AC187" s="54">
        <v>0</v>
      </c>
      <c r="AD187" s="54">
        <v>0</v>
      </c>
      <c r="AE187" s="54">
        <v>0</v>
      </c>
      <c r="AF187" s="54">
        <v>0</v>
      </c>
      <c r="AG187" s="54">
        <v>1</v>
      </c>
      <c r="AH187" s="54">
        <v>0</v>
      </c>
      <c r="AI187" s="54">
        <v>0</v>
      </c>
      <c r="AJ187" s="54">
        <v>0</v>
      </c>
      <c r="AK187" s="46">
        <f t="shared" si="35"/>
        <v>2</v>
      </c>
      <c r="AL187" s="46"/>
      <c r="AM187" s="54">
        <v>1</v>
      </c>
      <c r="AN187" s="54">
        <v>1</v>
      </c>
      <c r="AO187" s="54">
        <v>1</v>
      </c>
      <c r="AP187" s="54">
        <v>1</v>
      </c>
      <c r="AQ187" s="54">
        <v>0</v>
      </c>
      <c r="AR187" s="54">
        <v>0</v>
      </c>
      <c r="AS187" s="54">
        <v>0</v>
      </c>
      <c r="AT187" s="54">
        <v>0</v>
      </c>
      <c r="AU187" s="54">
        <v>0</v>
      </c>
      <c r="AV187" s="54">
        <v>0</v>
      </c>
      <c r="AW187" s="54">
        <v>1</v>
      </c>
      <c r="AX187" s="54">
        <v>0</v>
      </c>
      <c r="AY187" s="54">
        <v>1</v>
      </c>
      <c r="AZ187" s="46">
        <f t="shared" si="36"/>
        <v>6</v>
      </c>
      <c r="BA187" s="46"/>
      <c r="BB187" s="54">
        <v>0</v>
      </c>
      <c r="BC187" s="54">
        <v>0</v>
      </c>
      <c r="BD187" s="54">
        <v>0</v>
      </c>
      <c r="BE187" s="54">
        <v>0</v>
      </c>
      <c r="BF187" s="54">
        <v>0</v>
      </c>
      <c r="BG187" s="54">
        <v>0</v>
      </c>
      <c r="BH187" s="54">
        <v>0</v>
      </c>
      <c r="BI187" s="54">
        <v>0</v>
      </c>
      <c r="BJ187" s="46">
        <f t="shared" si="37"/>
        <v>0</v>
      </c>
      <c r="BK187" s="50"/>
      <c r="BL187" s="54">
        <v>0</v>
      </c>
      <c r="BM187" s="54">
        <v>0</v>
      </c>
      <c r="BN187" s="54">
        <v>0</v>
      </c>
      <c r="BO187" s="54">
        <v>0</v>
      </c>
      <c r="BP187" s="54">
        <v>0</v>
      </c>
      <c r="BQ187" s="54">
        <v>0</v>
      </c>
      <c r="BR187" s="54">
        <v>0</v>
      </c>
      <c r="BS187" s="47">
        <f t="shared" si="38"/>
        <v>0</v>
      </c>
      <c r="BT187" s="46"/>
      <c r="BU187" s="44">
        <f t="shared" si="39"/>
        <v>2</v>
      </c>
      <c r="BV187" s="44">
        <f t="shared" si="40"/>
        <v>6</v>
      </c>
      <c r="BW187" s="44">
        <f t="shared" si="41"/>
        <v>8</v>
      </c>
      <c r="BX187" s="44">
        <f t="shared" si="42"/>
        <v>0</v>
      </c>
      <c r="BY187" s="44">
        <f t="shared" si="43"/>
        <v>0</v>
      </c>
      <c r="BZ187" s="56"/>
      <c r="CA187" s="44">
        <f t="shared" si="44"/>
        <v>8</v>
      </c>
      <c r="CB187" s="56"/>
    </row>
    <row r="188" spans="1:100" s="49" customFormat="1" ht="15.75" customHeight="1" x14ac:dyDescent="0.25">
      <c r="A188" s="40" t="s">
        <v>531</v>
      </c>
      <c r="B188" s="46" t="s">
        <v>89</v>
      </c>
      <c r="C188" s="53">
        <v>-33489947</v>
      </c>
      <c r="D188" s="59">
        <v>-70632479</v>
      </c>
      <c r="E188" s="54" t="s">
        <v>644</v>
      </c>
      <c r="F188" s="54">
        <v>-33491457</v>
      </c>
      <c r="G188" s="54">
        <v>-70633907</v>
      </c>
      <c r="H188" s="54" t="s">
        <v>94</v>
      </c>
      <c r="I188" s="54">
        <v>0</v>
      </c>
      <c r="J188" s="54">
        <v>0</v>
      </c>
      <c r="K188" s="54">
        <v>0</v>
      </c>
      <c r="L188" s="54">
        <v>1</v>
      </c>
      <c r="M188" s="54">
        <v>1</v>
      </c>
      <c r="N188" s="54">
        <v>1</v>
      </c>
      <c r="O188" s="54">
        <v>1</v>
      </c>
      <c r="P188" s="54">
        <v>0</v>
      </c>
      <c r="Q188" s="54">
        <v>1</v>
      </c>
      <c r="R188" s="54">
        <v>0</v>
      </c>
      <c r="S188" s="54">
        <v>0</v>
      </c>
      <c r="T188" s="54">
        <v>0</v>
      </c>
      <c r="U188" s="54">
        <v>0</v>
      </c>
      <c r="V188" s="54">
        <v>0</v>
      </c>
      <c r="W188" s="54">
        <v>0</v>
      </c>
      <c r="X188" s="54">
        <v>1</v>
      </c>
      <c r="Y188" s="54">
        <v>0</v>
      </c>
      <c r="Z188" s="54">
        <v>0</v>
      </c>
      <c r="AA188" s="54">
        <v>0</v>
      </c>
      <c r="AB188" s="54">
        <v>0</v>
      </c>
      <c r="AC188" s="54">
        <v>1</v>
      </c>
      <c r="AD188" s="54">
        <v>1</v>
      </c>
      <c r="AE188" s="54">
        <v>0</v>
      </c>
      <c r="AF188" s="54">
        <v>0</v>
      </c>
      <c r="AG188" s="54">
        <v>1</v>
      </c>
      <c r="AH188" s="54">
        <v>1</v>
      </c>
      <c r="AI188" s="54">
        <v>0</v>
      </c>
      <c r="AJ188" s="54">
        <v>0</v>
      </c>
      <c r="AK188" s="46">
        <f t="shared" si="35"/>
        <v>10</v>
      </c>
      <c r="AL188" s="46"/>
      <c r="AM188" s="54">
        <v>1</v>
      </c>
      <c r="AN188" s="54">
        <v>1</v>
      </c>
      <c r="AO188" s="54">
        <v>1</v>
      </c>
      <c r="AP188" s="54">
        <v>1</v>
      </c>
      <c r="AQ188" s="54">
        <v>1</v>
      </c>
      <c r="AR188" s="54">
        <v>0</v>
      </c>
      <c r="AS188" s="54">
        <v>1</v>
      </c>
      <c r="AT188" s="54">
        <v>0</v>
      </c>
      <c r="AU188" s="54">
        <v>0</v>
      </c>
      <c r="AV188" s="54">
        <v>0</v>
      </c>
      <c r="AW188" s="54">
        <v>1</v>
      </c>
      <c r="AX188" s="54">
        <v>1</v>
      </c>
      <c r="AY188" s="54">
        <v>1</v>
      </c>
      <c r="AZ188" s="46">
        <f t="shared" si="36"/>
        <v>9</v>
      </c>
      <c r="BA188" s="46"/>
      <c r="BB188" s="54">
        <v>0</v>
      </c>
      <c r="BC188" s="54">
        <v>0</v>
      </c>
      <c r="BD188" s="54">
        <v>0</v>
      </c>
      <c r="BE188" s="54">
        <v>0</v>
      </c>
      <c r="BF188" s="54">
        <v>0</v>
      </c>
      <c r="BG188" s="54">
        <v>0</v>
      </c>
      <c r="BH188" s="54">
        <v>0</v>
      </c>
      <c r="BI188" s="54">
        <v>0</v>
      </c>
      <c r="BJ188" s="46">
        <f t="shared" si="37"/>
        <v>0</v>
      </c>
      <c r="BK188" s="50"/>
      <c r="BL188" s="54">
        <v>0</v>
      </c>
      <c r="BM188" s="54">
        <v>0</v>
      </c>
      <c r="BN188" s="54">
        <v>0</v>
      </c>
      <c r="BO188" s="54">
        <v>0</v>
      </c>
      <c r="BP188" s="54">
        <v>0</v>
      </c>
      <c r="BQ188" s="54">
        <v>0</v>
      </c>
      <c r="BR188" s="54">
        <v>0</v>
      </c>
      <c r="BS188" s="47">
        <f t="shared" si="38"/>
        <v>0</v>
      </c>
      <c r="BT188" s="46"/>
      <c r="BU188" s="44">
        <f t="shared" si="39"/>
        <v>10</v>
      </c>
      <c r="BV188" s="44">
        <f t="shared" si="40"/>
        <v>9</v>
      </c>
      <c r="BW188" s="44">
        <f t="shared" si="41"/>
        <v>19</v>
      </c>
      <c r="BX188" s="44">
        <f t="shared" si="42"/>
        <v>0</v>
      </c>
      <c r="BY188" s="44">
        <f t="shared" si="43"/>
        <v>0</v>
      </c>
      <c r="BZ188" s="56"/>
      <c r="CA188" s="44">
        <f t="shared" si="44"/>
        <v>19</v>
      </c>
      <c r="CB188" s="56"/>
    </row>
    <row r="189" spans="1:100" s="49" customFormat="1" ht="15.75" customHeight="1" x14ac:dyDescent="0.25">
      <c r="A189" s="40" t="s">
        <v>531</v>
      </c>
      <c r="B189" s="54" t="s">
        <v>645</v>
      </c>
      <c r="C189" s="41">
        <v>-33491396</v>
      </c>
      <c r="D189" s="41">
        <v>-70635794</v>
      </c>
      <c r="E189" s="54" t="s">
        <v>646</v>
      </c>
      <c r="F189" s="41">
        <v>-33491396</v>
      </c>
      <c r="G189" s="41">
        <v>-70635794</v>
      </c>
      <c r="H189" s="54" t="s">
        <v>647</v>
      </c>
      <c r="I189" s="54">
        <v>1</v>
      </c>
      <c r="J189" s="54">
        <v>0</v>
      </c>
      <c r="K189" s="54">
        <v>0</v>
      </c>
      <c r="L189" s="54">
        <v>1</v>
      </c>
      <c r="M189" s="54">
        <v>1</v>
      </c>
      <c r="N189" s="54">
        <v>1</v>
      </c>
      <c r="O189" s="54">
        <v>1</v>
      </c>
      <c r="P189" s="54">
        <v>0</v>
      </c>
      <c r="Q189" s="54">
        <v>1</v>
      </c>
      <c r="R189" s="54">
        <v>1</v>
      </c>
      <c r="S189" s="54">
        <v>0</v>
      </c>
      <c r="T189" s="54">
        <v>1</v>
      </c>
      <c r="U189" s="54">
        <v>1</v>
      </c>
      <c r="V189" s="54">
        <v>0</v>
      </c>
      <c r="W189" s="54">
        <v>1</v>
      </c>
      <c r="X189" s="54">
        <v>1</v>
      </c>
      <c r="Y189" s="54">
        <v>1</v>
      </c>
      <c r="Z189" s="54">
        <v>1</v>
      </c>
      <c r="AA189" s="54">
        <v>1</v>
      </c>
      <c r="AB189" s="54">
        <v>0</v>
      </c>
      <c r="AC189" s="54">
        <v>1</v>
      </c>
      <c r="AD189" s="54">
        <v>1</v>
      </c>
      <c r="AE189" s="54">
        <v>0</v>
      </c>
      <c r="AF189" s="54">
        <v>1</v>
      </c>
      <c r="AG189" s="54">
        <v>1</v>
      </c>
      <c r="AH189" s="54">
        <v>1</v>
      </c>
      <c r="AI189" s="54">
        <v>1</v>
      </c>
      <c r="AJ189" s="54">
        <v>1</v>
      </c>
      <c r="AK189" s="46">
        <f t="shared" si="35"/>
        <v>21</v>
      </c>
      <c r="AL189" s="46"/>
      <c r="AM189" s="54">
        <v>1</v>
      </c>
      <c r="AN189" s="54">
        <v>1</v>
      </c>
      <c r="AO189" s="54">
        <v>1</v>
      </c>
      <c r="AP189" s="54">
        <v>1</v>
      </c>
      <c r="AQ189" s="54">
        <v>1</v>
      </c>
      <c r="AR189" s="54">
        <v>0</v>
      </c>
      <c r="AS189" s="54">
        <v>1</v>
      </c>
      <c r="AT189" s="54">
        <v>0</v>
      </c>
      <c r="AU189" s="54">
        <v>0</v>
      </c>
      <c r="AV189" s="54">
        <v>0</v>
      </c>
      <c r="AW189" s="54">
        <v>1</v>
      </c>
      <c r="AX189" s="54">
        <v>1</v>
      </c>
      <c r="AY189" s="54">
        <v>1</v>
      </c>
      <c r="AZ189" s="46">
        <f t="shared" si="36"/>
        <v>9</v>
      </c>
      <c r="BA189" s="46"/>
      <c r="BB189" s="54">
        <v>0</v>
      </c>
      <c r="BC189" s="54">
        <v>1</v>
      </c>
      <c r="BD189" s="54">
        <v>1</v>
      </c>
      <c r="BE189" s="54">
        <v>0</v>
      </c>
      <c r="BF189" s="54">
        <v>1</v>
      </c>
      <c r="BG189" s="54">
        <v>0</v>
      </c>
      <c r="BH189" s="54">
        <v>0</v>
      </c>
      <c r="BI189" s="54">
        <v>1</v>
      </c>
      <c r="BJ189" s="46">
        <f t="shared" si="37"/>
        <v>4</v>
      </c>
      <c r="BK189" s="50"/>
      <c r="BL189" s="54">
        <v>0</v>
      </c>
      <c r="BM189" s="54">
        <v>0</v>
      </c>
      <c r="BN189" s="54">
        <v>0</v>
      </c>
      <c r="BO189" s="54">
        <v>1</v>
      </c>
      <c r="BP189" s="54">
        <v>0</v>
      </c>
      <c r="BQ189" s="54">
        <v>0</v>
      </c>
      <c r="BR189" s="54">
        <v>0</v>
      </c>
      <c r="BS189" s="47">
        <f t="shared" si="38"/>
        <v>1</v>
      </c>
      <c r="BT189" s="46"/>
      <c r="BU189" s="44">
        <f t="shared" si="39"/>
        <v>21</v>
      </c>
      <c r="BV189" s="44">
        <f t="shared" si="40"/>
        <v>9</v>
      </c>
      <c r="BW189" s="44">
        <f t="shared" si="41"/>
        <v>30</v>
      </c>
      <c r="BX189" s="44">
        <f t="shared" si="42"/>
        <v>4</v>
      </c>
      <c r="BY189" s="44">
        <f t="shared" si="43"/>
        <v>1</v>
      </c>
      <c r="BZ189" s="56"/>
      <c r="CA189" s="44">
        <f t="shared" si="44"/>
        <v>35</v>
      </c>
      <c r="CB189" s="56"/>
    </row>
    <row r="190" spans="1:100" s="49" customFormat="1" ht="15.75" customHeight="1" x14ac:dyDescent="0.25">
      <c r="A190" s="40" t="s">
        <v>531</v>
      </c>
      <c r="B190" s="54" t="s">
        <v>645</v>
      </c>
      <c r="C190" s="54">
        <v>-33491355</v>
      </c>
      <c r="D190" s="54">
        <v>-70635884</v>
      </c>
      <c r="E190" s="54" t="s">
        <v>648</v>
      </c>
      <c r="F190" s="54">
        <v>-33491355</v>
      </c>
      <c r="G190" s="54">
        <v>-70635884</v>
      </c>
      <c r="H190" s="54" t="s">
        <v>192</v>
      </c>
      <c r="I190" s="54">
        <v>1</v>
      </c>
      <c r="J190" s="54">
        <v>0</v>
      </c>
      <c r="K190" s="54">
        <v>1</v>
      </c>
      <c r="L190" s="54">
        <v>1</v>
      </c>
      <c r="M190" s="54">
        <v>1</v>
      </c>
      <c r="N190" s="54">
        <v>1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1</v>
      </c>
      <c r="U190" s="54">
        <v>0</v>
      </c>
      <c r="V190" s="54">
        <v>0</v>
      </c>
      <c r="W190" s="54">
        <v>1</v>
      </c>
      <c r="X190" s="54">
        <v>1</v>
      </c>
      <c r="Y190" s="54">
        <v>0</v>
      </c>
      <c r="Z190" s="54">
        <v>0</v>
      </c>
      <c r="AA190" s="54">
        <v>0</v>
      </c>
      <c r="AB190" s="54">
        <v>0</v>
      </c>
      <c r="AC190" s="54">
        <v>0</v>
      </c>
      <c r="AD190" s="54">
        <v>0</v>
      </c>
      <c r="AE190" s="54">
        <v>0</v>
      </c>
      <c r="AF190" s="54">
        <v>0</v>
      </c>
      <c r="AG190" s="54">
        <v>0</v>
      </c>
      <c r="AH190" s="54">
        <v>0</v>
      </c>
      <c r="AI190" s="54">
        <v>0</v>
      </c>
      <c r="AJ190" s="54">
        <v>0</v>
      </c>
      <c r="AK190" s="46">
        <f t="shared" si="35"/>
        <v>8</v>
      </c>
      <c r="AL190" s="46"/>
      <c r="AM190" s="54">
        <v>0</v>
      </c>
      <c r="AN190" s="54">
        <v>0</v>
      </c>
      <c r="AO190" s="54">
        <v>0</v>
      </c>
      <c r="AP190" s="54">
        <v>0</v>
      </c>
      <c r="AQ190" s="54">
        <v>0</v>
      </c>
      <c r="AR190" s="54">
        <v>0</v>
      </c>
      <c r="AS190" s="54">
        <v>0</v>
      </c>
      <c r="AT190" s="54">
        <v>0</v>
      </c>
      <c r="AU190" s="54">
        <v>0</v>
      </c>
      <c r="AV190" s="54">
        <v>0</v>
      </c>
      <c r="AW190" s="54">
        <v>0</v>
      </c>
      <c r="AX190" s="54">
        <v>0</v>
      </c>
      <c r="AY190" s="54">
        <v>0</v>
      </c>
      <c r="AZ190" s="46">
        <f t="shared" si="36"/>
        <v>0</v>
      </c>
      <c r="BA190" s="46"/>
      <c r="BB190" s="54">
        <v>1</v>
      </c>
      <c r="BC190" s="54">
        <v>1</v>
      </c>
      <c r="BD190" s="54">
        <v>0</v>
      </c>
      <c r="BE190" s="54">
        <v>0</v>
      </c>
      <c r="BF190" s="54">
        <v>0</v>
      </c>
      <c r="BG190" s="54">
        <v>0</v>
      </c>
      <c r="BH190" s="54">
        <v>0</v>
      </c>
      <c r="BI190" s="54">
        <v>0</v>
      </c>
      <c r="BJ190" s="46">
        <f t="shared" si="37"/>
        <v>2</v>
      </c>
      <c r="BK190" s="50"/>
      <c r="BL190" s="54">
        <v>0</v>
      </c>
      <c r="BM190" s="54">
        <v>0</v>
      </c>
      <c r="BN190" s="54">
        <v>0</v>
      </c>
      <c r="BO190" s="54">
        <v>1</v>
      </c>
      <c r="BP190" s="54">
        <v>0</v>
      </c>
      <c r="BQ190" s="54">
        <v>0</v>
      </c>
      <c r="BR190" s="54">
        <v>0</v>
      </c>
      <c r="BS190" s="47">
        <f t="shared" si="38"/>
        <v>1</v>
      </c>
      <c r="BT190" s="46"/>
      <c r="BU190" s="44">
        <f t="shared" si="39"/>
        <v>8</v>
      </c>
      <c r="BV190" s="44">
        <f t="shared" si="40"/>
        <v>0</v>
      </c>
      <c r="BW190" s="44">
        <f t="shared" si="41"/>
        <v>8</v>
      </c>
      <c r="BX190" s="44">
        <f t="shared" si="42"/>
        <v>2</v>
      </c>
      <c r="BY190" s="44">
        <f t="shared" si="43"/>
        <v>1</v>
      </c>
      <c r="BZ190" s="56"/>
      <c r="CA190" s="44">
        <f t="shared" si="44"/>
        <v>11</v>
      </c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</row>
    <row r="191" spans="1:100" s="49" customFormat="1" ht="15.75" customHeight="1" x14ac:dyDescent="0.25">
      <c r="A191" s="40" t="s">
        <v>531</v>
      </c>
      <c r="B191" s="54" t="s">
        <v>645</v>
      </c>
      <c r="C191" s="60">
        <v>-3349143</v>
      </c>
      <c r="D191" s="54">
        <v>-70635973</v>
      </c>
      <c r="E191" s="54" t="s">
        <v>649</v>
      </c>
      <c r="F191" s="60">
        <v>-3349143</v>
      </c>
      <c r="G191" s="54">
        <v>-70635973</v>
      </c>
      <c r="H191" s="54" t="s">
        <v>650</v>
      </c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46">
        <f t="shared" si="35"/>
        <v>0</v>
      </c>
      <c r="AL191" s="46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46">
        <f t="shared" si="36"/>
        <v>0</v>
      </c>
      <c r="BA191" s="46"/>
      <c r="BB191" s="54"/>
      <c r="BC191" s="54"/>
      <c r="BD191" s="54"/>
      <c r="BE191" s="54"/>
      <c r="BF191" s="54"/>
      <c r="BG191" s="54"/>
      <c r="BH191" s="54"/>
      <c r="BI191" s="54"/>
      <c r="BJ191" s="46">
        <f t="shared" si="37"/>
        <v>0</v>
      </c>
      <c r="BK191" s="50"/>
      <c r="BL191" s="54"/>
      <c r="BM191" s="54"/>
      <c r="BN191" s="54"/>
      <c r="BO191" s="54"/>
      <c r="BP191" s="54"/>
      <c r="BQ191" s="54"/>
      <c r="BR191" s="54"/>
      <c r="BS191" s="47">
        <f t="shared" si="38"/>
        <v>0</v>
      </c>
      <c r="BT191" s="46"/>
      <c r="BU191" s="44">
        <f t="shared" si="39"/>
        <v>0</v>
      </c>
      <c r="BV191" s="44">
        <f t="shared" si="40"/>
        <v>0</v>
      </c>
      <c r="BW191" s="44">
        <f t="shared" si="41"/>
        <v>0</v>
      </c>
      <c r="BX191" s="44">
        <f t="shared" si="42"/>
        <v>0</v>
      </c>
      <c r="BY191" s="44">
        <f t="shared" si="43"/>
        <v>0</v>
      </c>
      <c r="BZ191" s="56"/>
      <c r="CA191" s="44">
        <f t="shared" si="44"/>
        <v>0</v>
      </c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</row>
    <row r="192" spans="1:100" s="49" customFormat="1" ht="15.75" customHeight="1" x14ac:dyDescent="0.25">
      <c r="A192" s="40" t="s">
        <v>531</v>
      </c>
      <c r="B192" s="54" t="s">
        <v>645</v>
      </c>
      <c r="C192" s="54">
        <v>-33491234</v>
      </c>
      <c r="D192" s="54">
        <v>-70635787</v>
      </c>
      <c r="E192" s="54" t="s">
        <v>651</v>
      </c>
      <c r="F192" s="54">
        <v>-33491234</v>
      </c>
      <c r="G192" s="54">
        <v>-70635787</v>
      </c>
      <c r="H192" s="54" t="s">
        <v>652</v>
      </c>
      <c r="I192" s="54">
        <v>0</v>
      </c>
      <c r="J192" s="54">
        <v>0</v>
      </c>
      <c r="K192" s="54">
        <v>0</v>
      </c>
      <c r="L192" s="54">
        <v>0</v>
      </c>
      <c r="M192" s="54">
        <v>0</v>
      </c>
      <c r="N192" s="54">
        <v>1</v>
      </c>
      <c r="O192" s="54">
        <v>1</v>
      </c>
      <c r="P192" s="54">
        <v>0</v>
      </c>
      <c r="Q192" s="54">
        <v>1</v>
      </c>
      <c r="R192" s="54">
        <v>0</v>
      </c>
      <c r="S192" s="54">
        <v>0</v>
      </c>
      <c r="T192" s="54">
        <v>0</v>
      </c>
      <c r="U192" s="54">
        <v>0</v>
      </c>
      <c r="V192" s="54">
        <v>0</v>
      </c>
      <c r="W192" s="54">
        <v>0</v>
      </c>
      <c r="X192" s="54">
        <v>1</v>
      </c>
      <c r="Y192" s="54">
        <v>0</v>
      </c>
      <c r="Z192" s="54">
        <v>0</v>
      </c>
      <c r="AA192" s="54">
        <v>0</v>
      </c>
      <c r="AB192" s="54">
        <v>0</v>
      </c>
      <c r="AC192" s="54">
        <v>1</v>
      </c>
      <c r="AD192" s="54">
        <v>0</v>
      </c>
      <c r="AE192" s="54">
        <v>0</v>
      </c>
      <c r="AF192" s="54">
        <v>1</v>
      </c>
      <c r="AG192" s="54">
        <v>1</v>
      </c>
      <c r="AH192" s="54">
        <v>0</v>
      </c>
      <c r="AI192" s="54">
        <v>1</v>
      </c>
      <c r="AJ192" s="54">
        <v>1</v>
      </c>
      <c r="AK192" s="46">
        <f t="shared" si="35"/>
        <v>9</v>
      </c>
      <c r="AL192" s="46"/>
      <c r="AM192" s="54">
        <v>1</v>
      </c>
      <c r="AN192" s="54">
        <v>1</v>
      </c>
      <c r="AO192" s="54">
        <v>0</v>
      </c>
      <c r="AP192" s="54">
        <v>1</v>
      </c>
      <c r="AQ192" s="54">
        <v>1</v>
      </c>
      <c r="AR192" s="54">
        <v>1</v>
      </c>
      <c r="AS192" s="54">
        <v>1</v>
      </c>
      <c r="AT192" s="54">
        <v>0</v>
      </c>
      <c r="AU192" s="54">
        <v>0</v>
      </c>
      <c r="AV192" s="54">
        <v>0</v>
      </c>
      <c r="AW192" s="54">
        <v>1</v>
      </c>
      <c r="AX192" s="54">
        <v>1</v>
      </c>
      <c r="AY192" s="54">
        <v>1</v>
      </c>
      <c r="AZ192" s="46">
        <f t="shared" si="36"/>
        <v>9</v>
      </c>
      <c r="BA192" s="46"/>
      <c r="BB192" s="54">
        <v>0</v>
      </c>
      <c r="BC192" s="54">
        <v>0</v>
      </c>
      <c r="BD192" s="54">
        <v>1</v>
      </c>
      <c r="BE192" s="54">
        <v>0</v>
      </c>
      <c r="BF192" s="54">
        <v>0</v>
      </c>
      <c r="BG192" s="54">
        <v>0</v>
      </c>
      <c r="BH192" s="54">
        <v>0</v>
      </c>
      <c r="BI192" s="54">
        <v>0</v>
      </c>
      <c r="BJ192" s="46">
        <f t="shared" si="37"/>
        <v>1</v>
      </c>
      <c r="BK192" s="50"/>
      <c r="BL192" s="54">
        <v>0</v>
      </c>
      <c r="BM192" s="54">
        <v>0</v>
      </c>
      <c r="BN192" s="54">
        <v>0</v>
      </c>
      <c r="BO192" s="54">
        <v>0</v>
      </c>
      <c r="BP192" s="54">
        <v>0</v>
      </c>
      <c r="BQ192" s="54">
        <v>0</v>
      </c>
      <c r="BR192" s="54">
        <v>0</v>
      </c>
      <c r="BS192" s="47">
        <f t="shared" si="38"/>
        <v>0</v>
      </c>
      <c r="BT192" s="46"/>
      <c r="BU192" s="44">
        <f t="shared" si="39"/>
        <v>9</v>
      </c>
      <c r="BV192" s="44">
        <f t="shared" si="40"/>
        <v>9</v>
      </c>
      <c r="BW192" s="44">
        <f t="shared" si="41"/>
        <v>18</v>
      </c>
      <c r="BX192" s="44">
        <f t="shared" si="42"/>
        <v>1</v>
      </c>
      <c r="BY192" s="44">
        <f t="shared" si="43"/>
        <v>0</v>
      </c>
      <c r="BZ192" s="56"/>
      <c r="CA192" s="44">
        <f t="shared" si="44"/>
        <v>19</v>
      </c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6"/>
      <c r="CV192" s="56"/>
    </row>
    <row r="193" spans="1:100" s="49" customFormat="1" ht="15.75" customHeight="1" x14ac:dyDescent="0.25">
      <c r="A193" s="40" t="s">
        <v>531</v>
      </c>
      <c r="B193" s="54" t="s">
        <v>645</v>
      </c>
      <c r="C193" s="54">
        <v>-33490005</v>
      </c>
      <c r="D193" s="54">
        <v>-70635903</v>
      </c>
      <c r="E193" s="54" t="s">
        <v>653</v>
      </c>
      <c r="F193" s="54">
        <v>-33490005</v>
      </c>
      <c r="G193" s="54">
        <v>-70635903</v>
      </c>
      <c r="H193" s="54" t="s">
        <v>654</v>
      </c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46">
        <f t="shared" si="35"/>
        <v>0</v>
      </c>
      <c r="AL193" s="46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46">
        <f t="shared" si="36"/>
        <v>0</v>
      </c>
      <c r="BA193" s="46"/>
      <c r="BB193" s="54"/>
      <c r="BC193" s="54"/>
      <c r="BD193" s="54"/>
      <c r="BE193" s="54"/>
      <c r="BF193" s="54"/>
      <c r="BG193" s="54"/>
      <c r="BH193" s="54"/>
      <c r="BI193" s="54"/>
      <c r="BJ193" s="46">
        <f t="shared" si="37"/>
        <v>0</v>
      </c>
      <c r="BK193" s="50"/>
      <c r="BL193" s="54"/>
      <c r="BM193" s="54"/>
      <c r="BN193" s="54"/>
      <c r="BO193" s="54"/>
      <c r="BP193" s="54"/>
      <c r="BQ193" s="54"/>
      <c r="BR193" s="54"/>
      <c r="BS193" s="47">
        <f t="shared" si="38"/>
        <v>0</v>
      </c>
      <c r="BT193" s="46"/>
      <c r="BU193" s="44">
        <f t="shared" si="39"/>
        <v>0</v>
      </c>
      <c r="BV193" s="44">
        <f t="shared" si="40"/>
        <v>0</v>
      </c>
      <c r="BW193" s="44">
        <f t="shared" si="41"/>
        <v>0</v>
      </c>
      <c r="BX193" s="44">
        <f t="shared" si="42"/>
        <v>0</v>
      </c>
      <c r="BY193" s="44">
        <f t="shared" si="43"/>
        <v>0</v>
      </c>
      <c r="BZ193" s="56"/>
      <c r="CA193" s="44">
        <f t="shared" si="44"/>
        <v>0</v>
      </c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6"/>
      <c r="CV193" s="56"/>
    </row>
    <row r="194" spans="1:100" s="49" customFormat="1" ht="15.75" customHeight="1" x14ac:dyDescent="0.25">
      <c r="A194" s="40" t="s">
        <v>531</v>
      </c>
      <c r="B194" s="54" t="s">
        <v>645</v>
      </c>
      <c r="C194" s="54">
        <v>-33489957</v>
      </c>
      <c r="D194" s="54">
        <v>-70635749</v>
      </c>
      <c r="E194" s="54" t="s">
        <v>655</v>
      </c>
      <c r="F194" s="54">
        <v>-33489957</v>
      </c>
      <c r="G194" s="54">
        <v>-70635749</v>
      </c>
      <c r="H194" s="54" t="s">
        <v>656</v>
      </c>
      <c r="I194" s="54">
        <v>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0</v>
      </c>
      <c r="S194" s="54">
        <v>0</v>
      </c>
      <c r="T194" s="54">
        <v>0</v>
      </c>
      <c r="U194" s="54">
        <v>1</v>
      </c>
      <c r="V194" s="54">
        <v>0</v>
      </c>
      <c r="W194" s="54">
        <v>1</v>
      </c>
      <c r="X194" s="54">
        <v>1</v>
      </c>
      <c r="Y194" s="54">
        <v>0</v>
      </c>
      <c r="Z194" s="54">
        <v>0</v>
      </c>
      <c r="AA194" s="54">
        <v>0</v>
      </c>
      <c r="AB194" s="54">
        <v>0</v>
      </c>
      <c r="AC194" s="54">
        <v>1</v>
      </c>
      <c r="AD194" s="54">
        <v>1</v>
      </c>
      <c r="AE194" s="54">
        <v>0</v>
      </c>
      <c r="AF194" s="54">
        <v>1</v>
      </c>
      <c r="AG194" s="54">
        <v>1</v>
      </c>
      <c r="AH194" s="54">
        <v>0</v>
      </c>
      <c r="AI194" s="54">
        <v>0</v>
      </c>
      <c r="AJ194" s="54">
        <v>0</v>
      </c>
      <c r="AK194" s="46">
        <f t="shared" si="35"/>
        <v>7</v>
      </c>
      <c r="AL194" s="46"/>
      <c r="AM194" s="54">
        <v>0</v>
      </c>
      <c r="AN194" s="54">
        <v>0</v>
      </c>
      <c r="AO194" s="54">
        <v>1</v>
      </c>
      <c r="AP194" s="54">
        <v>0</v>
      </c>
      <c r="AQ194" s="54">
        <v>0</v>
      </c>
      <c r="AR194" s="54">
        <v>0</v>
      </c>
      <c r="AS194" s="54">
        <v>0</v>
      </c>
      <c r="AT194" s="54">
        <v>0</v>
      </c>
      <c r="AU194" s="54">
        <v>0</v>
      </c>
      <c r="AV194" s="54">
        <v>0</v>
      </c>
      <c r="AW194" s="54">
        <v>1</v>
      </c>
      <c r="AX194" s="54">
        <v>1</v>
      </c>
      <c r="AY194" s="54">
        <v>0</v>
      </c>
      <c r="AZ194" s="46">
        <f t="shared" si="36"/>
        <v>3</v>
      </c>
      <c r="BA194" s="46"/>
      <c r="BB194" s="54">
        <v>0</v>
      </c>
      <c r="BC194" s="54">
        <v>0</v>
      </c>
      <c r="BD194" s="54">
        <v>0</v>
      </c>
      <c r="BE194" s="54">
        <v>0</v>
      </c>
      <c r="BF194" s="54">
        <v>0</v>
      </c>
      <c r="BG194" s="54">
        <v>1</v>
      </c>
      <c r="BH194" s="54">
        <v>0</v>
      </c>
      <c r="BI194" s="54">
        <v>1</v>
      </c>
      <c r="BJ194" s="46">
        <f t="shared" si="37"/>
        <v>2</v>
      </c>
      <c r="BK194" s="50"/>
      <c r="BL194" s="54">
        <v>0</v>
      </c>
      <c r="BM194" s="54">
        <v>0</v>
      </c>
      <c r="BN194" s="54">
        <v>0</v>
      </c>
      <c r="BO194" s="54">
        <v>0</v>
      </c>
      <c r="BP194" s="54">
        <v>0</v>
      </c>
      <c r="BQ194" s="54">
        <v>0</v>
      </c>
      <c r="BR194" s="54">
        <v>0</v>
      </c>
      <c r="BS194" s="47">
        <f t="shared" si="38"/>
        <v>0</v>
      </c>
      <c r="BT194" s="46"/>
      <c r="BU194" s="44">
        <f t="shared" si="39"/>
        <v>7</v>
      </c>
      <c r="BV194" s="44">
        <f t="shared" si="40"/>
        <v>3</v>
      </c>
      <c r="BW194" s="44">
        <f t="shared" si="41"/>
        <v>10</v>
      </c>
      <c r="BX194" s="44">
        <f t="shared" si="42"/>
        <v>2</v>
      </c>
      <c r="BY194" s="44">
        <f t="shared" si="43"/>
        <v>0</v>
      </c>
      <c r="BZ194" s="56"/>
      <c r="CA194" s="44">
        <f t="shared" si="44"/>
        <v>12</v>
      </c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6"/>
      <c r="CV194" s="56"/>
    </row>
    <row r="195" spans="1:100" s="49" customFormat="1" ht="15.75" customHeight="1" x14ac:dyDescent="0.25">
      <c r="A195" s="40" t="s">
        <v>531</v>
      </c>
      <c r="B195" s="54" t="s">
        <v>645</v>
      </c>
      <c r="C195" s="54">
        <v>-33499957</v>
      </c>
      <c r="D195" s="54">
        <v>-70635749</v>
      </c>
      <c r="E195" s="54" t="s">
        <v>657</v>
      </c>
      <c r="F195" s="54">
        <v>-33499957</v>
      </c>
      <c r="G195" s="54">
        <v>-70635749</v>
      </c>
      <c r="H195" s="54" t="s">
        <v>658</v>
      </c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46">
        <f t="shared" si="35"/>
        <v>0</v>
      </c>
      <c r="AL195" s="46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46">
        <f t="shared" si="36"/>
        <v>0</v>
      </c>
      <c r="BA195" s="46"/>
      <c r="BB195" s="54"/>
      <c r="BC195" s="54"/>
      <c r="BD195" s="54"/>
      <c r="BE195" s="54"/>
      <c r="BF195" s="54"/>
      <c r="BG195" s="54"/>
      <c r="BH195" s="54"/>
      <c r="BI195" s="54"/>
      <c r="BJ195" s="46">
        <f t="shared" si="37"/>
        <v>0</v>
      </c>
      <c r="BK195" s="50"/>
      <c r="BL195" s="54"/>
      <c r="BM195" s="54"/>
      <c r="BN195" s="54"/>
      <c r="BO195" s="54"/>
      <c r="BP195" s="54"/>
      <c r="BQ195" s="54"/>
      <c r="BR195" s="54"/>
      <c r="BS195" s="47">
        <f t="shared" si="38"/>
        <v>0</v>
      </c>
      <c r="BT195" s="46"/>
      <c r="BU195" s="44">
        <f t="shared" si="39"/>
        <v>0</v>
      </c>
      <c r="BV195" s="44">
        <f t="shared" si="40"/>
        <v>0</v>
      </c>
      <c r="BW195" s="44">
        <f t="shared" si="41"/>
        <v>0</v>
      </c>
      <c r="BX195" s="44">
        <f t="shared" si="42"/>
        <v>0</v>
      </c>
      <c r="BY195" s="44">
        <f t="shared" si="43"/>
        <v>0</v>
      </c>
      <c r="BZ195" s="56"/>
      <c r="CA195" s="44">
        <f t="shared" si="44"/>
        <v>0</v>
      </c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6"/>
      <c r="CV195" s="56"/>
    </row>
    <row r="196" spans="1:100" s="49" customFormat="1" ht="15.75" customHeight="1" x14ac:dyDescent="0.25">
      <c r="A196" s="40" t="s">
        <v>531</v>
      </c>
      <c r="B196" s="54" t="s">
        <v>645</v>
      </c>
      <c r="C196" s="54">
        <v>-33489776</v>
      </c>
      <c r="D196" s="54">
        <v>-70634986</v>
      </c>
      <c r="E196" s="54" t="s">
        <v>659</v>
      </c>
      <c r="F196" s="54">
        <v>-33489776</v>
      </c>
      <c r="G196" s="54">
        <v>-70634986</v>
      </c>
      <c r="H196" s="54" t="s">
        <v>660</v>
      </c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46">
        <f t="shared" si="35"/>
        <v>0</v>
      </c>
      <c r="AL196" s="46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46">
        <f t="shared" si="36"/>
        <v>0</v>
      </c>
      <c r="BA196" s="46"/>
      <c r="BB196" s="54"/>
      <c r="BC196" s="54"/>
      <c r="BD196" s="54"/>
      <c r="BE196" s="54"/>
      <c r="BF196" s="54"/>
      <c r="BG196" s="54"/>
      <c r="BH196" s="54"/>
      <c r="BI196" s="54"/>
      <c r="BJ196" s="46">
        <f t="shared" si="37"/>
        <v>0</v>
      </c>
      <c r="BK196" s="50"/>
      <c r="BL196" s="54"/>
      <c r="BM196" s="54"/>
      <c r="BN196" s="54"/>
      <c r="BO196" s="54"/>
      <c r="BP196" s="54"/>
      <c r="BQ196" s="54"/>
      <c r="BR196" s="54"/>
      <c r="BS196" s="47">
        <f t="shared" si="38"/>
        <v>0</v>
      </c>
      <c r="BT196" s="46"/>
      <c r="BU196" s="44">
        <f t="shared" si="39"/>
        <v>0</v>
      </c>
      <c r="BV196" s="44">
        <f t="shared" si="40"/>
        <v>0</v>
      </c>
      <c r="BW196" s="44">
        <f t="shared" si="41"/>
        <v>0</v>
      </c>
      <c r="BX196" s="44">
        <f t="shared" si="42"/>
        <v>0</v>
      </c>
      <c r="BY196" s="44">
        <f t="shared" si="43"/>
        <v>0</v>
      </c>
      <c r="BZ196" s="56"/>
      <c r="CA196" s="44">
        <f t="shared" si="44"/>
        <v>0</v>
      </c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  <c r="CS196" s="56"/>
      <c r="CT196" s="56"/>
      <c r="CU196" s="56"/>
      <c r="CV196" s="56"/>
    </row>
    <row r="197" spans="1:100" s="49" customFormat="1" ht="15.75" customHeight="1" x14ac:dyDescent="0.25">
      <c r="A197" s="40" t="s">
        <v>531</v>
      </c>
      <c r="B197" s="54" t="s">
        <v>645</v>
      </c>
      <c r="C197" s="54">
        <v>-33490351</v>
      </c>
      <c r="D197" s="54">
        <v>-70633364</v>
      </c>
      <c r="E197" s="54" t="s">
        <v>661</v>
      </c>
      <c r="F197" s="54">
        <v>-33490351</v>
      </c>
      <c r="G197" s="54">
        <v>-70633364</v>
      </c>
      <c r="H197" s="54" t="s">
        <v>662</v>
      </c>
      <c r="I197" s="54">
        <v>0</v>
      </c>
      <c r="J197" s="54">
        <v>0</v>
      </c>
      <c r="K197" s="54">
        <v>0</v>
      </c>
      <c r="L197" s="54">
        <v>1</v>
      </c>
      <c r="M197" s="54">
        <v>0</v>
      </c>
      <c r="N197" s="54">
        <v>0</v>
      </c>
      <c r="O197" s="54">
        <v>0</v>
      </c>
      <c r="P197" s="54">
        <v>0</v>
      </c>
      <c r="Q197" s="54">
        <v>0</v>
      </c>
      <c r="R197" s="54">
        <v>0</v>
      </c>
      <c r="S197" s="54">
        <v>0</v>
      </c>
      <c r="T197" s="54">
        <v>0</v>
      </c>
      <c r="U197" s="54">
        <v>0</v>
      </c>
      <c r="V197" s="54">
        <v>0</v>
      </c>
      <c r="W197" s="54">
        <v>0</v>
      </c>
      <c r="X197" s="54">
        <v>0</v>
      </c>
      <c r="Y197" s="54">
        <v>0</v>
      </c>
      <c r="Z197" s="54">
        <v>0</v>
      </c>
      <c r="AA197" s="54">
        <v>0</v>
      </c>
      <c r="AB197" s="54">
        <v>0</v>
      </c>
      <c r="AC197" s="54">
        <v>1</v>
      </c>
      <c r="AD197" s="54">
        <v>1</v>
      </c>
      <c r="AE197" s="54">
        <v>0</v>
      </c>
      <c r="AF197" s="54">
        <v>1</v>
      </c>
      <c r="AG197" s="54">
        <v>1</v>
      </c>
      <c r="AH197" s="54">
        <v>0</v>
      </c>
      <c r="AI197" s="54">
        <v>0</v>
      </c>
      <c r="AJ197" s="54">
        <v>0</v>
      </c>
      <c r="AK197" s="46">
        <f t="shared" si="35"/>
        <v>5</v>
      </c>
      <c r="AL197" s="46"/>
      <c r="AM197" s="54">
        <v>1</v>
      </c>
      <c r="AN197" s="54">
        <v>1</v>
      </c>
      <c r="AO197" s="54">
        <v>0</v>
      </c>
      <c r="AP197" s="54">
        <v>1</v>
      </c>
      <c r="AQ197" s="54">
        <v>0</v>
      </c>
      <c r="AR197" s="54">
        <v>0</v>
      </c>
      <c r="AS197" s="54">
        <v>0</v>
      </c>
      <c r="AT197" s="54">
        <v>0</v>
      </c>
      <c r="AU197" s="54">
        <v>0</v>
      </c>
      <c r="AV197" s="54">
        <v>0</v>
      </c>
      <c r="AW197" s="54">
        <v>1</v>
      </c>
      <c r="AX197" s="54">
        <v>1</v>
      </c>
      <c r="AY197" s="54">
        <v>0</v>
      </c>
      <c r="AZ197" s="46">
        <f t="shared" si="36"/>
        <v>5</v>
      </c>
      <c r="BA197" s="46"/>
      <c r="BB197" s="54">
        <v>0</v>
      </c>
      <c r="BC197" s="54">
        <v>0</v>
      </c>
      <c r="BD197" s="54">
        <v>0</v>
      </c>
      <c r="BE197" s="54">
        <v>0</v>
      </c>
      <c r="BF197" s="54">
        <v>0</v>
      </c>
      <c r="BG197" s="54">
        <v>0</v>
      </c>
      <c r="BH197" s="54">
        <v>0</v>
      </c>
      <c r="BI197" s="54">
        <v>1</v>
      </c>
      <c r="BJ197" s="46">
        <f t="shared" si="37"/>
        <v>1</v>
      </c>
      <c r="BK197" s="50"/>
      <c r="BL197" s="54">
        <v>0</v>
      </c>
      <c r="BM197" s="54">
        <v>0</v>
      </c>
      <c r="BN197" s="54">
        <v>0</v>
      </c>
      <c r="BO197" s="54">
        <v>0</v>
      </c>
      <c r="BP197" s="54">
        <v>0</v>
      </c>
      <c r="BQ197" s="54">
        <v>0</v>
      </c>
      <c r="BR197" s="54">
        <v>0</v>
      </c>
      <c r="BS197" s="47">
        <f t="shared" si="38"/>
        <v>0</v>
      </c>
      <c r="BT197" s="46"/>
      <c r="BU197" s="44">
        <f t="shared" si="39"/>
        <v>5</v>
      </c>
      <c r="BV197" s="44">
        <f t="shared" si="40"/>
        <v>5</v>
      </c>
      <c r="BW197" s="44">
        <f t="shared" si="41"/>
        <v>10</v>
      </c>
      <c r="BX197" s="44">
        <f t="shared" si="42"/>
        <v>1</v>
      </c>
      <c r="BY197" s="44">
        <f t="shared" si="43"/>
        <v>0</v>
      </c>
      <c r="BZ197" s="56"/>
      <c r="CA197" s="44">
        <f t="shared" si="44"/>
        <v>11</v>
      </c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56"/>
      <c r="CP197" s="56"/>
      <c r="CQ197" s="56"/>
      <c r="CR197" s="56"/>
      <c r="CS197" s="56"/>
      <c r="CT197" s="56"/>
      <c r="CU197" s="56"/>
      <c r="CV197" s="56"/>
    </row>
    <row r="198" spans="1:100" s="49" customFormat="1" ht="15.75" customHeight="1" x14ac:dyDescent="0.25">
      <c r="A198" s="40" t="s">
        <v>531</v>
      </c>
      <c r="B198" s="54" t="s">
        <v>645</v>
      </c>
      <c r="C198" s="54">
        <v>-33488924</v>
      </c>
      <c r="D198" s="54">
        <v>-7063277</v>
      </c>
      <c r="E198" s="54" t="s">
        <v>663</v>
      </c>
      <c r="F198" s="54">
        <v>-33488924</v>
      </c>
      <c r="G198" s="54">
        <v>-7063277</v>
      </c>
      <c r="H198" s="54" t="s">
        <v>132</v>
      </c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46">
        <f t="shared" si="35"/>
        <v>0</v>
      </c>
      <c r="AL198" s="46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46">
        <f t="shared" si="36"/>
        <v>0</v>
      </c>
      <c r="BA198" s="46"/>
      <c r="BB198" s="54"/>
      <c r="BC198" s="54"/>
      <c r="BD198" s="54"/>
      <c r="BE198" s="54"/>
      <c r="BF198" s="54"/>
      <c r="BG198" s="54"/>
      <c r="BH198" s="54"/>
      <c r="BI198" s="54"/>
      <c r="BJ198" s="46">
        <f t="shared" si="37"/>
        <v>0</v>
      </c>
      <c r="BK198" s="50"/>
      <c r="BL198" s="54"/>
      <c r="BM198" s="54"/>
      <c r="BN198" s="54"/>
      <c r="BO198" s="54"/>
      <c r="BP198" s="54"/>
      <c r="BQ198" s="54"/>
      <c r="BR198" s="54"/>
      <c r="BS198" s="47">
        <f t="shared" si="38"/>
        <v>0</v>
      </c>
      <c r="BT198" s="46"/>
      <c r="BU198" s="44">
        <f t="shared" si="39"/>
        <v>0</v>
      </c>
      <c r="BV198" s="44">
        <f t="shared" si="40"/>
        <v>0</v>
      </c>
      <c r="BW198" s="44">
        <f t="shared" si="41"/>
        <v>0</v>
      </c>
      <c r="BX198" s="44">
        <f t="shared" si="42"/>
        <v>0</v>
      </c>
      <c r="BY198" s="44">
        <f t="shared" si="43"/>
        <v>0</v>
      </c>
      <c r="BZ198" s="56"/>
      <c r="CA198" s="44">
        <f t="shared" si="44"/>
        <v>0</v>
      </c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  <c r="CS198" s="56"/>
      <c r="CT198" s="56"/>
      <c r="CU198" s="56"/>
      <c r="CV198" s="56"/>
    </row>
    <row r="199" spans="1:100" s="49" customFormat="1" ht="15.75" customHeight="1" x14ac:dyDescent="0.25">
      <c r="A199" s="40" t="s">
        <v>531</v>
      </c>
      <c r="B199" s="54" t="s">
        <v>645</v>
      </c>
      <c r="C199" s="54">
        <v>-33488949</v>
      </c>
      <c r="D199" s="54">
        <v>-70632846</v>
      </c>
      <c r="E199" s="54" t="s">
        <v>664</v>
      </c>
      <c r="F199" s="54">
        <v>-33488949</v>
      </c>
      <c r="G199" s="54">
        <v>-70632846</v>
      </c>
      <c r="H199" s="54" t="s">
        <v>210</v>
      </c>
      <c r="I199" s="54">
        <v>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  <c r="O199" s="54">
        <v>0</v>
      </c>
      <c r="P199" s="54">
        <v>0</v>
      </c>
      <c r="Q199" s="54">
        <v>0</v>
      </c>
      <c r="R199" s="54">
        <v>0</v>
      </c>
      <c r="S199" s="54">
        <v>0</v>
      </c>
      <c r="T199" s="54">
        <v>0</v>
      </c>
      <c r="U199" s="54">
        <v>1</v>
      </c>
      <c r="V199" s="54">
        <v>0</v>
      </c>
      <c r="W199" s="54">
        <v>0</v>
      </c>
      <c r="X199" s="54">
        <v>0</v>
      </c>
      <c r="Y199" s="54">
        <v>0</v>
      </c>
      <c r="Z199" s="54">
        <v>0</v>
      </c>
      <c r="AA199" s="54">
        <v>0</v>
      </c>
      <c r="AB199" s="54">
        <v>0</v>
      </c>
      <c r="AC199" s="54">
        <v>1</v>
      </c>
      <c r="AD199" s="54">
        <v>1</v>
      </c>
      <c r="AE199" s="54">
        <v>0</v>
      </c>
      <c r="AF199" s="54">
        <v>1</v>
      </c>
      <c r="AG199" s="54">
        <v>1</v>
      </c>
      <c r="AH199" s="54">
        <v>0</v>
      </c>
      <c r="AI199" s="54">
        <v>0</v>
      </c>
      <c r="AJ199" s="54">
        <v>0</v>
      </c>
      <c r="AK199" s="46">
        <f t="shared" si="35"/>
        <v>5</v>
      </c>
      <c r="AL199" s="46"/>
      <c r="AM199" s="54">
        <v>0</v>
      </c>
      <c r="AN199" s="54">
        <v>0</v>
      </c>
      <c r="AO199" s="54">
        <v>1</v>
      </c>
      <c r="AP199" s="54">
        <v>0</v>
      </c>
      <c r="AQ199" s="54">
        <v>0</v>
      </c>
      <c r="AR199" s="54">
        <v>0</v>
      </c>
      <c r="AS199" s="54">
        <v>0</v>
      </c>
      <c r="AT199" s="54">
        <v>0</v>
      </c>
      <c r="AU199" s="54">
        <v>0</v>
      </c>
      <c r="AV199" s="54">
        <v>0</v>
      </c>
      <c r="AW199" s="54">
        <v>1</v>
      </c>
      <c r="AX199" s="54">
        <v>1</v>
      </c>
      <c r="AY199" s="54">
        <v>0</v>
      </c>
      <c r="AZ199" s="46">
        <f t="shared" si="36"/>
        <v>3</v>
      </c>
      <c r="BA199" s="46"/>
      <c r="BB199" s="54">
        <v>0</v>
      </c>
      <c r="BC199" s="54">
        <v>0</v>
      </c>
      <c r="BD199" s="54">
        <v>0</v>
      </c>
      <c r="BE199" s="54">
        <v>0</v>
      </c>
      <c r="BF199" s="54">
        <v>0</v>
      </c>
      <c r="BG199" s="54">
        <v>1</v>
      </c>
      <c r="BH199" s="54">
        <v>0</v>
      </c>
      <c r="BI199" s="54">
        <v>1</v>
      </c>
      <c r="BJ199" s="46">
        <f t="shared" si="37"/>
        <v>2</v>
      </c>
      <c r="BK199" s="50"/>
      <c r="BL199" s="54">
        <v>0</v>
      </c>
      <c r="BM199" s="54">
        <v>0</v>
      </c>
      <c r="BN199" s="54">
        <v>0</v>
      </c>
      <c r="BO199" s="54">
        <v>1</v>
      </c>
      <c r="BP199" s="54">
        <v>0</v>
      </c>
      <c r="BQ199" s="54">
        <v>0</v>
      </c>
      <c r="BR199" s="54">
        <v>0</v>
      </c>
      <c r="BS199" s="47">
        <f t="shared" si="38"/>
        <v>1</v>
      </c>
      <c r="BT199" s="46"/>
      <c r="BU199" s="44">
        <f t="shared" si="39"/>
        <v>5</v>
      </c>
      <c r="BV199" s="44">
        <f t="shared" si="40"/>
        <v>3</v>
      </c>
      <c r="BW199" s="44">
        <f t="shared" si="41"/>
        <v>8</v>
      </c>
      <c r="BX199" s="44">
        <f t="shared" si="42"/>
        <v>2</v>
      </c>
      <c r="BY199" s="44">
        <f t="shared" si="43"/>
        <v>1</v>
      </c>
      <c r="BZ199" s="56"/>
      <c r="CA199" s="44">
        <f t="shared" si="44"/>
        <v>11</v>
      </c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</row>
    <row r="200" spans="1:100" s="49" customFormat="1" ht="15.75" customHeight="1" x14ac:dyDescent="0.25">
      <c r="A200" s="40" t="s">
        <v>531</v>
      </c>
      <c r="B200" s="54" t="s">
        <v>645</v>
      </c>
      <c r="C200" s="54">
        <v>-33488559</v>
      </c>
      <c r="D200" s="54">
        <v>-70628249</v>
      </c>
      <c r="E200" s="54" t="s">
        <v>665</v>
      </c>
      <c r="F200" s="54">
        <v>-33488559</v>
      </c>
      <c r="G200" s="54">
        <v>-70628249</v>
      </c>
      <c r="H200" s="54" t="s">
        <v>94</v>
      </c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46">
        <f t="shared" si="35"/>
        <v>0</v>
      </c>
      <c r="AL200" s="46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46">
        <f t="shared" si="36"/>
        <v>0</v>
      </c>
      <c r="BA200" s="46"/>
      <c r="BB200" s="54"/>
      <c r="BC200" s="54"/>
      <c r="BD200" s="54"/>
      <c r="BE200" s="54"/>
      <c r="BF200" s="54"/>
      <c r="BG200" s="54"/>
      <c r="BH200" s="54"/>
      <c r="BI200" s="54"/>
      <c r="BJ200" s="46">
        <f t="shared" si="37"/>
        <v>0</v>
      </c>
      <c r="BK200" s="50"/>
      <c r="BL200" s="54"/>
      <c r="BM200" s="54"/>
      <c r="BN200" s="54"/>
      <c r="BO200" s="54"/>
      <c r="BP200" s="54"/>
      <c r="BQ200" s="54"/>
      <c r="BR200" s="54"/>
      <c r="BS200" s="47">
        <f t="shared" si="38"/>
        <v>0</v>
      </c>
      <c r="BT200" s="46"/>
      <c r="BU200" s="44">
        <f t="shared" si="39"/>
        <v>0</v>
      </c>
      <c r="BV200" s="44">
        <f t="shared" si="40"/>
        <v>0</v>
      </c>
      <c r="BW200" s="44">
        <f t="shared" si="41"/>
        <v>0</v>
      </c>
      <c r="BX200" s="44">
        <f t="shared" si="42"/>
        <v>0</v>
      </c>
      <c r="BY200" s="44">
        <f t="shared" si="43"/>
        <v>0</v>
      </c>
      <c r="BZ200" s="56"/>
      <c r="CA200" s="44">
        <f t="shared" si="44"/>
        <v>0</v>
      </c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6"/>
      <c r="CV200" s="56"/>
    </row>
    <row r="201" spans="1:100" s="49" customFormat="1" ht="15.75" customHeight="1" x14ac:dyDescent="0.25">
      <c r="A201" s="40" t="s">
        <v>531</v>
      </c>
      <c r="B201" s="54" t="s">
        <v>645</v>
      </c>
      <c r="C201" s="54">
        <v>-33488556</v>
      </c>
      <c r="D201" s="54">
        <v>-70628552</v>
      </c>
      <c r="E201" s="54" t="s">
        <v>666</v>
      </c>
      <c r="F201" s="54">
        <v>-33488556</v>
      </c>
      <c r="G201" s="54">
        <v>-70628552</v>
      </c>
      <c r="H201" s="54" t="s">
        <v>94</v>
      </c>
      <c r="I201" s="54">
        <v>1</v>
      </c>
      <c r="J201" s="54">
        <v>0</v>
      </c>
      <c r="K201" s="54">
        <v>0</v>
      </c>
      <c r="L201" s="54">
        <v>1</v>
      </c>
      <c r="M201" s="54">
        <v>1</v>
      </c>
      <c r="N201" s="54">
        <v>1</v>
      </c>
      <c r="O201" s="54">
        <v>1</v>
      </c>
      <c r="P201" s="54">
        <v>0</v>
      </c>
      <c r="Q201" s="54">
        <v>1</v>
      </c>
      <c r="R201" s="54">
        <v>1</v>
      </c>
      <c r="S201" s="54">
        <v>0</v>
      </c>
      <c r="T201" s="54">
        <v>1</v>
      </c>
      <c r="U201" s="54">
        <v>0</v>
      </c>
      <c r="V201" s="54">
        <v>0</v>
      </c>
      <c r="W201" s="54">
        <v>1</v>
      </c>
      <c r="X201" s="54">
        <v>1</v>
      </c>
      <c r="Y201" s="54">
        <v>0</v>
      </c>
      <c r="Z201" s="54">
        <v>0</v>
      </c>
      <c r="AA201" s="54">
        <v>0</v>
      </c>
      <c r="AB201" s="54">
        <v>0</v>
      </c>
      <c r="AC201" s="54">
        <v>1</v>
      </c>
      <c r="AD201" s="54">
        <v>1</v>
      </c>
      <c r="AE201" s="54">
        <v>0</v>
      </c>
      <c r="AF201" s="54">
        <v>1</v>
      </c>
      <c r="AG201" s="54">
        <v>1</v>
      </c>
      <c r="AH201" s="54">
        <v>1</v>
      </c>
      <c r="AI201" s="54">
        <v>1</v>
      </c>
      <c r="AJ201" s="54">
        <v>1</v>
      </c>
      <c r="AK201" s="46">
        <f t="shared" ref="AK201:AK264" si="45">SUM(I201:AJ201)</f>
        <v>17</v>
      </c>
      <c r="AL201" s="46"/>
      <c r="AM201" s="54">
        <v>1</v>
      </c>
      <c r="AN201" s="54">
        <v>1</v>
      </c>
      <c r="AO201" s="54">
        <v>1</v>
      </c>
      <c r="AP201" s="54">
        <v>1</v>
      </c>
      <c r="AQ201" s="54">
        <v>1</v>
      </c>
      <c r="AR201" s="54">
        <v>1</v>
      </c>
      <c r="AS201" s="54">
        <v>1</v>
      </c>
      <c r="AT201" s="54">
        <v>0</v>
      </c>
      <c r="AU201" s="54">
        <v>0</v>
      </c>
      <c r="AV201" s="54">
        <v>0</v>
      </c>
      <c r="AW201" s="54">
        <v>1</v>
      </c>
      <c r="AX201" s="54">
        <v>1</v>
      </c>
      <c r="AY201" s="54">
        <v>1</v>
      </c>
      <c r="AZ201" s="46">
        <f t="shared" ref="AZ201:AZ264" si="46">SUM(AM201:AY201)</f>
        <v>10</v>
      </c>
      <c r="BA201" s="46"/>
      <c r="BB201" s="54">
        <v>0</v>
      </c>
      <c r="BC201" s="54">
        <v>0</v>
      </c>
      <c r="BD201" s="54">
        <v>0</v>
      </c>
      <c r="BE201" s="54">
        <v>0</v>
      </c>
      <c r="BF201" s="54">
        <v>0</v>
      </c>
      <c r="BG201" s="54">
        <v>0</v>
      </c>
      <c r="BH201" s="54">
        <v>0</v>
      </c>
      <c r="BI201" s="54">
        <v>1</v>
      </c>
      <c r="BJ201" s="46">
        <f t="shared" ref="BJ201:BJ264" si="47">SUM(BB201:BI201)</f>
        <v>1</v>
      </c>
      <c r="BK201" s="50"/>
      <c r="BL201" s="54">
        <v>0</v>
      </c>
      <c r="BM201" s="54">
        <v>0</v>
      </c>
      <c r="BN201" s="54">
        <v>0</v>
      </c>
      <c r="BO201" s="54">
        <v>1</v>
      </c>
      <c r="BP201" s="54">
        <v>0</v>
      </c>
      <c r="BQ201" s="54">
        <v>0</v>
      </c>
      <c r="BR201" s="54">
        <v>0</v>
      </c>
      <c r="BS201" s="47">
        <f t="shared" ref="BS201:BS264" si="48">SUM(BL201:BR201)</f>
        <v>1</v>
      </c>
      <c r="BT201" s="46"/>
      <c r="BU201" s="44">
        <f t="shared" ref="BU201:BU264" si="49">AK201</f>
        <v>17</v>
      </c>
      <c r="BV201" s="44">
        <f t="shared" ref="BV201:BV264" si="50">AZ201</f>
        <v>10</v>
      </c>
      <c r="BW201" s="44">
        <f t="shared" ref="BW201:BW264" si="51">BU201+BV201</f>
        <v>27</v>
      </c>
      <c r="BX201" s="44">
        <f t="shared" ref="BX201:BX264" si="52">BJ201</f>
        <v>1</v>
      </c>
      <c r="BY201" s="44">
        <f t="shared" ref="BY201:BY264" si="53">BS201</f>
        <v>1</v>
      </c>
      <c r="BZ201" s="56"/>
      <c r="CA201" s="44">
        <f t="shared" ref="CA201:CA264" si="54">BW201+BX201+BY201</f>
        <v>29</v>
      </c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  <c r="CS201" s="56"/>
      <c r="CT201" s="56"/>
      <c r="CU201" s="56"/>
      <c r="CV201" s="56"/>
    </row>
    <row r="202" spans="1:100" s="49" customFormat="1" ht="15.75" customHeight="1" x14ac:dyDescent="0.25">
      <c r="A202" s="40" t="s">
        <v>531</v>
      </c>
      <c r="B202" s="54" t="s">
        <v>645</v>
      </c>
      <c r="C202" s="54">
        <v>-33488459</v>
      </c>
      <c r="D202" s="54">
        <v>-70628927</v>
      </c>
      <c r="E202" s="54" t="s">
        <v>667</v>
      </c>
      <c r="F202" s="54">
        <v>-33488459</v>
      </c>
      <c r="G202" s="54">
        <v>-70628927</v>
      </c>
      <c r="H202" s="54" t="s">
        <v>668</v>
      </c>
      <c r="I202" s="54">
        <v>1</v>
      </c>
      <c r="J202" s="54">
        <v>0</v>
      </c>
      <c r="K202" s="54">
        <v>1</v>
      </c>
      <c r="L202" s="54">
        <v>1</v>
      </c>
      <c r="M202" s="54">
        <v>1</v>
      </c>
      <c r="N202" s="54">
        <v>1</v>
      </c>
      <c r="O202" s="54">
        <v>1</v>
      </c>
      <c r="P202" s="54">
        <v>0</v>
      </c>
      <c r="Q202" s="54">
        <v>1</v>
      </c>
      <c r="R202" s="54">
        <v>1</v>
      </c>
      <c r="S202" s="54">
        <v>0</v>
      </c>
      <c r="T202" s="54">
        <v>1</v>
      </c>
      <c r="U202" s="54">
        <v>1</v>
      </c>
      <c r="V202" s="54">
        <v>0</v>
      </c>
      <c r="W202" s="54">
        <v>1</v>
      </c>
      <c r="X202" s="54">
        <v>1</v>
      </c>
      <c r="Y202" s="54">
        <v>0</v>
      </c>
      <c r="Z202" s="54">
        <v>1</v>
      </c>
      <c r="AA202" s="54">
        <v>1</v>
      </c>
      <c r="AB202" s="54">
        <v>0</v>
      </c>
      <c r="AC202" s="54">
        <v>1</v>
      </c>
      <c r="AD202" s="54">
        <v>1</v>
      </c>
      <c r="AE202" s="54">
        <v>0</v>
      </c>
      <c r="AF202" s="54">
        <v>1</v>
      </c>
      <c r="AG202" s="54">
        <v>1</v>
      </c>
      <c r="AH202" s="54">
        <v>1</v>
      </c>
      <c r="AI202" s="54">
        <v>1</v>
      </c>
      <c r="AJ202" s="54">
        <v>1</v>
      </c>
      <c r="AK202" s="46">
        <f t="shared" si="45"/>
        <v>21</v>
      </c>
      <c r="AL202" s="46"/>
      <c r="AM202" s="54">
        <v>1</v>
      </c>
      <c r="AN202" s="54">
        <v>1</v>
      </c>
      <c r="AO202" s="54">
        <v>1</v>
      </c>
      <c r="AP202" s="54">
        <v>1</v>
      </c>
      <c r="AQ202" s="54">
        <v>1</v>
      </c>
      <c r="AR202" s="54">
        <v>1</v>
      </c>
      <c r="AS202" s="54">
        <v>1</v>
      </c>
      <c r="AT202" s="54">
        <v>0</v>
      </c>
      <c r="AU202" s="54">
        <v>0</v>
      </c>
      <c r="AV202" s="54">
        <v>0</v>
      </c>
      <c r="AW202" s="54">
        <v>1</v>
      </c>
      <c r="AX202" s="54">
        <v>1</v>
      </c>
      <c r="AY202" s="54">
        <v>1</v>
      </c>
      <c r="AZ202" s="46">
        <f t="shared" si="46"/>
        <v>10</v>
      </c>
      <c r="BA202" s="46"/>
      <c r="BB202" s="54">
        <v>1</v>
      </c>
      <c r="BC202" s="54">
        <v>1</v>
      </c>
      <c r="BD202" s="54">
        <v>1</v>
      </c>
      <c r="BE202" s="54">
        <v>0</v>
      </c>
      <c r="BF202" s="54">
        <v>1</v>
      </c>
      <c r="BG202" s="54">
        <v>0</v>
      </c>
      <c r="BH202" s="54">
        <v>0</v>
      </c>
      <c r="BI202" s="54">
        <v>1</v>
      </c>
      <c r="BJ202" s="46">
        <f t="shared" si="47"/>
        <v>5</v>
      </c>
      <c r="BK202" s="50"/>
      <c r="BL202" s="54">
        <v>0</v>
      </c>
      <c r="BM202" s="54">
        <v>0</v>
      </c>
      <c r="BN202" s="54">
        <v>0</v>
      </c>
      <c r="BO202" s="54">
        <v>1</v>
      </c>
      <c r="BP202" s="54">
        <v>0</v>
      </c>
      <c r="BQ202" s="54">
        <v>0</v>
      </c>
      <c r="BR202" s="54">
        <v>0</v>
      </c>
      <c r="BS202" s="47">
        <f t="shared" si="48"/>
        <v>1</v>
      </c>
      <c r="BT202" s="46"/>
      <c r="BU202" s="44">
        <f t="shared" si="49"/>
        <v>21</v>
      </c>
      <c r="BV202" s="44">
        <f t="shared" si="50"/>
        <v>10</v>
      </c>
      <c r="BW202" s="44">
        <f t="shared" si="51"/>
        <v>31</v>
      </c>
      <c r="BX202" s="44">
        <f t="shared" si="52"/>
        <v>5</v>
      </c>
      <c r="BY202" s="44">
        <f t="shared" si="53"/>
        <v>1</v>
      </c>
      <c r="BZ202" s="56"/>
      <c r="CA202" s="44">
        <f t="shared" si="54"/>
        <v>37</v>
      </c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56"/>
      <c r="CP202" s="56"/>
      <c r="CQ202" s="56"/>
      <c r="CR202" s="56"/>
      <c r="CS202" s="56"/>
      <c r="CT202" s="56"/>
      <c r="CU202" s="56"/>
      <c r="CV202" s="56"/>
    </row>
    <row r="203" spans="1:100" s="49" customFormat="1" ht="15.75" customHeight="1" x14ac:dyDescent="0.25">
      <c r="A203" s="40" t="s">
        <v>531</v>
      </c>
      <c r="B203" s="54" t="s">
        <v>645</v>
      </c>
      <c r="C203" s="54">
        <v>-33488543</v>
      </c>
      <c r="D203" s="54">
        <v>-70629138</v>
      </c>
      <c r="E203" s="54" t="s">
        <v>669</v>
      </c>
      <c r="F203" s="54">
        <v>-33488543</v>
      </c>
      <c r="G203" s="54">
        <v>-70629138</v>
      </c>
      <c r="H203" s="54" t="s">
        <v>670</v>
      </c>
      <c r="I203" s="54">
        <v>0</v>
      </c>
      <c r="J203" s="54">
        <v>0</v>
      </c>
      <c r="K203" s="54">
        <v>0</v>
      </c>
      <c r="L203" s="54">
        <v>1</v>
      </c>
      <c r="M203" s="54">
        <v>0</v>
      </c>
      <c r="N203" s="54">
        <v>0</v>
      </c>
      <c r="O203" s="54">
        <v>0</v>
      </c>
      <c r="P203" s="54">
        <v>0</v>
      </c>
      <c r="Q203" s="54">
        <v>0</v>
      </c>
      <c r="R203" s="54">
        <v>0</v>
      </c>
      <c r="S203" s="54">
        <v>0</v>
      </c>
      <c r="T203" s="54">
        <v>0</v>
      </c>
      <c r="U203" s="54">
        <v>0</v>
      </c>
      <c r="V203" s="54">
        <v>0</v>
      </c>
      <c r="W203" s="54">
        <v>0</v>
      </c>
      <c r="X203" s="54">
        <v>0</v>
      </c>
      <c r="Y203" s="54">
        <v>0</v>
      </c>
      <c r="Z203" s="54">
        <v>0</v>
      </c>
      <c r="AA203" s="54">
        <v>0</v>
      </c>
      <c r="AB203" s="54">
        <v>0</v>
      </c>
      <c r="AC203" s="54">
        <v>1</v>
      </c>
      <c r="AD203" s="54">
        <v>1</v>
      </c>
      <c r="AE203" s="54">
        <v>0</v>
      </c>
      <c r="AF203" s="54">
        <v>1</v>
      </c>
      <c r="AG203" s="54">
        <v>1</v>
      </c>
      <c r="AH203" s="54">
        <v>0</v>
      </c>
      <c r="AI203" s="54">
        <v>0</v>
      </c>
      <c r="AJ203" s="54">
        <v>0</v>
      </c>
      <c r="AK203" s="46">
        <f t="shared" si="45"/>
        <v>5</v>
      </c>
      <c r="AL203" s="46"/>
      <c r="AM203" s="54">
        <v>0</v>
      </c>
      <c r="AN203" s="54">
        <v>0</v>
      </c>
      <c r="AO203" s="54">
        <v>0</v>
      </c>
      <c r="AP203" s="54">
        <v>1</v>
      </c>
      <c r="AQ203" s="54">
        <v>0</v>
      </c>
      <c r="AR203" s="54">
        <v>0</v>
      </c>
      <c r="AS203" s="54">
        <v>0</v>
      </c>
      <c r="AT203" s="54">
        <v>0</v>
      </c>
      <c r="AU203" s="54">
        <v>0</v>
      </c>
      <c r="AV203" s="54">
        <v>0</v>
      </c>
      <c r="AW203" s="54">
        <v>1</v>
      </c>
      <c r="AX203" s="54">
        <v>1</v>
      </c>
      <c r="AY203" s="54">
        <v>0</v>
      </c>
      <c r="AZ203" s="46">
        <f t="shared" si="46"/>
        <v>3</v>
      </c>
      <c r="BA203" s="46"/>
      <c r="BB203" s="54">
        <v>0</v>
      </c>
      <c r="BC203" s="54">
        <v>0</v>
      </c>
      <c r="BD203" s="54">
        <v>0</v>
      </c>
      <c r="BE203" s="54">
        <v>0</v>
      </c>
      <c r="BF203" s="54">
        <v>0</v>
      </c>
      <c r="BG203" s="54">
        <v>0</v>
      </c>
      <c r="BH203" s="54">
        <v>0</v>
      </c>
      <c r="BI203" s="54">
        <v>1</v>
      </c>
      <c r="BJ203" s="46">
        <f t="shared" si="47"/>
        <v>1</v>
      </c>
      <c r="BK203" s="50"/>
      <c r="BL203" s="54">
        <v>0</v>
      </c>
      <c r="BM203" s="54">
        <v>0</v>
      </c>
      <c r="BN203" s="54">
        <v>0</v>
      </c>
      <c r="BO203" s="54">
        <v>0</v>
      </c>
      <c r="BP203" s="54">
        <v>0</v>
      </c>
      <c r="BQ203" s="54">
        <v>0</v>
      </c>
      <c r="BR203" s="54">
        <v>0</v>
      </c>
      <c r="BS203" s="47">
        <f t="shared" si="48"/>
        <v>0</v>
      </c>
      <c r="BT203" s="46"/>
      <c r="BU203" s="44">
        <f t="shared" si="49"/>
        <v>5</v>
      </c>
      <c r="BV203" s="44">
        <f t="shared" si="50"/>
        <v>3</v>
      </c>
      <c r="BW203" s="44">
        <f t="shared" si="51"/>
        <v>8</v>
      </c>
      <c r="BX203" s="44">
        <f t="shared" si="52"/>
        <v>1</v>
      </c>
      <c r="BY203" s="44">
        <f t="shared" si="53"/>
        <v>0</v>
      </c>
      <c r="BZ203" s="56"/>
      <c r="CA203" s="44">
        <f t="shared" si="54"/>
        <v>9</v>
      </c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  <c r="CS203" s="56"/>
      <c r="CT203" s="56"/>
      <c r="CU203" s="56"/>
      <c r="CV203" s="56"/>
    </row>
    <row r="204" spans="1:100" s="49" customFormat="1" ht="15.75" customHeight="1" x14ac:dyDescent="0.25">
      <c r="A204" s="40" t="s">
        <v>531</v>
      </c>
      <c r="B204" s="54" t="s">
        <v>645</v>
      </c>
      <c r="C204" s="54">
        <v>-33488415</v>
      </c>
      <c r="D204" s="54">
        <v>-70629254</v>
      </c>
      <c r="E204" s="54" t="s">
        <v>671</v>
      </c>
      <c r="F204" s="54">
        <v>-33488415</v>
      </c>
      <c r="G204" s="54">
        <v>-70629254</v>
      </c>
      <c r="H204" s="54" t="s">
        <v>672</v>
      </c>
      <c r="I204" s="54">
        <v>0</v>
      </c>
      <c r="J204" s="54">
        <v>0</v>
      </c>
      <c r="K204" s="54">
        <v>0</v>
      </c>
      <c r="L204" s="54">
        <v>1</v>
      </c>
      <c r="M204" s="54">
        <v>0</v>
      </c>
      <c r="N204" s="54">
        <v>1</v>
      </c>
      <c r="O204" s="54">
        <v>1</v>
      </c>
      <c r="P204" s="54">
        <v>0</v>
      </c>
      <c r="Q204" s="54">
        <v>1</v>
      </c>
      <c r="R204" s="54">
        <v>0</v>
      </c>
      <c r="S204" s="54">
        <v>0</v>
      </c>
      <c r="T204" s="54">
        <v>1</v>
      </c>
      <c r="U204" s="54">
        <v>0</v>
      </c>
      <c r="V204" s="54">
        <v>0</v>
      </c>
      <c r="W204" s="54">
        <v>0</v>
      </c>
      <c r="X204" s="54">
        <v>1</v>
      </c>
      <c r="Y204" s="54">
        <v>0</v>
      </c>
      <c r="Z204" s="54">
        <v>0</v>
      </c>
      <c r="AA204" s="54">
        <v>0</v>
      </c>
      <c r="AB204" s="54">
        <v>0</v>
      </c>
      <c r="AC204" s="54">
        <v>1</v>
      </c>
      <c r="AD204" s="54">
        <v>1</v>
      </c>
      <c r="AE204" s="54">
        <v>0</v>
      </c>
      <c r="AF204" s="54">
        <v>1</v>
      </c>
      <c r="AG204" s="54">
        <v>1</v>
      </c>
      <c r="AH204" s="54">
        <v>1</v>
      </c>
      <c r="AI204" s="54">
        <v>1</v>
      </c>
      <c r="AJ204" s="54">
        <v>1</v>
      </c>
      <c r="AK204" s="46">
        <f t="shared" si="45"/>
        <v>13</v>
      </c>
      <c r="AL204" s="46"/>
      <c r="AM204" s="54">
        <v>1</v>
      </c>
      <c r="AN204" s="54">
        <v>1</v>
      </c>
      <c r="AO204" s="54">
        <v>1</v>
      </c>
      <c r="AP204" s="54">
        <v>1</v>
      </c>
      <c r="AQ204" s="54">
        <v>1</v>
      </c>
      <c r="AR204" s="54">
        <v>0</v>
      </c>
      <c r="AS204" s="54">
        <v>1</v>
      </c>
      <c r="AT204" s="54">
        <v>0</v>
      </c>
      <c r="AU204" s="54">
        <v>0</v>
      </c>
      <c r="AV204" s="54">
        <v>0</v>
      </c>
      <c r="AW204" s="54">
        <v>1</v>
      </c>
      <c r="AX204" s="54">
        <v>1</v>
      </c>
      <c r="AY204" s="54">
        <v>0</v>
      </c>
      <c r="AZ204" s="46">
        <f t="shared" si="46"/>
        <v>8</v>
      </c>
      <c r="BA204" s="46"/>
      <c r="BB204" s="54">
        <v>0</v>
      </c>
      <c r="BC204" s="54">
        <v>0</v>
      </c>
      <c r="BD204" s="54">
        <v>0</v>
      </c>
      <c r="BE204" s="54">
        <v>0</v>
      </c>
      <c r="BF204" s="54">
        <v>0</v>
      </c>
      <c r="BG204" s="54">
        <v>0</v>
      </c>
      <c r="BH204" s="54">
        <v>0</v>
      </c>
      <c r="BI204" s="54">
        <v>1</v>
      </c>
      <c r="BJ204" s="46">
        <f t="shared" si="47"/>
        <v>1</v>
      </c>
      <c r="BK204" s="50"/>
      <c r="BL204" s="54">
        <v>0</v>
      </c>
      <c r="BM204" s="54">
        <v>0</v>
      </c>
      <c r="BN204" s="54">
        <v>0</v>
      </c>
      <c r="BO204" s="54">
        <v>0</v>
      </c>
      <c r="BP204" s="54">
        <v>0</v>
      </c>
      <c r="BQ204" s="54">
        <v>0</v>
      </c>
      <c r="BR204" s="54">
        <v>0</v>
      </c>
      <c r="BS204" s="47">
        <f t="shared" si="48"/>
        <v>0</v>
      </c>
      <c r="BT204" s="46"/>
      <c r="BU204" s="44">
        <f t="shared" si="49"/>
        <v>13</v>
      </c>
      <c r="BV204" s="44">
        <f t="shared" si="50"/>
        <v>8</v>
      </c>
      <c r="BW204" s="44">
        <f t="shared" si="51"/>
        <v>21</v>
      </c>
      <c r="BX204" s="44">
        <f t="shared" si="52"/>
        <v>1</v>
      </c>
      <c r="BY204" s="44">
        <f t="shared" si="53"/>
        <v>0</v>
      </c>
      <c r="BZ204" s="56"/>
      <c r="CA204" s="44">
        <f t="shared" si="54"/>
        <v>22</v>
      </c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6"/>
      <c r="CV204" s="56"/>
    </row>
    <row r="205" spans="1:100" s="49" customFormat="1" ht="15.75" customHeight="1" x14ac:dyDescent="0.25">
      <c r="A205" s="40" t="s">
        <v>531</v>
      </c>
      <c r="B205" s="54" t="s">
        <v>645</v>
      </c>
      <c r="C205" s="54">
        <v>-33490262</v>
      </c>
      <c r="D205" s="54">
        <v>-70632885</v>
      </c>
      <c r="E205" s="54" t="s">
        <v>673</v>
      </c>
      <c r="F205" s="54">
        <v>-33490262</v>
      </c>
      <c r="G205" s="54">
        <v>-70632885</v>
      </c>
      <c r="H205" s="54" t="s">
        <v>674</v>
      </c>
      <c r="I205" s="54">
        <v>0</v>
      </c>
      <c r="J205" s="54">
        <v>0</v>
      </c>
      <c r="K205" s="54">
        <v>0</v>
      </c>
      <c r="L205" s="54">
        <v>0</v>
      </c>
      <c r="M205" s="54">
        <v>0</v>
      </c>
      <c r="N205" s="54">
        <v>1</v>
      </c>
      <c r="O205" s="54">
        <v>1</v>
      </c>
      <c r="P205" s="54">
        <v>0</v>
      </c>
      <c r="Q205" s="54">
        <v>1</v>
      </c>
      <c r="R205" s="54">
        <v>0</v>
      </c>
      <c r="S205" s="54">
        <v>0</v>
      </c>
      <c r="T205" s="54">
        <v>1</v>
      </c>
      <c r="U205" s="54">
        <v>0</v>
      </c>
      <c r="V205" s="54">
        <v>0</v>
      </c>
      <c r="W205" s="54">
        <v>1</v>
      </c>
      <c r="X205" s="54">
        <v>1</v>
      </c>
      <c r="Y205" s="54">
        <v>0</v>
      </c>
      <c r="Z205" s="54">
        <v>0</v>
      </c>
      <c r="AA205" s="54">
        <v>0</v>
      </c>
      <c r="AB205" s="54">
        <v>0</v>
      </c>
      <c r="AC205" s="54">
        <v>1</v>
      </c>
      <c r="AD205" s="54">
        <v>1</v>
      </c>
      <c r="AE205" s="54">
        <v>0</v>
      </c>
      <c r="AF205" s="54">
        <v>1</v>
      </c>
      <c r="AG205" s="54">
        <v>1</v>
      </c>
      <c r="AH205" s="54">
        <v>1</v>
      </c>
      <c r="AI205" s="54">
        <v>1</v>
      </c>
      <c r="AJ205" s="54">
        <v>1</v>
      </c>
      <c r="AK205" s="46">
        <f t="shared" si="45"/>
        <v>13</v>
      </c>
      <c r="AL205" s="46"/>
      <c r="AM205" s="54">
        <v>1</v>
      </c>
      <c r="AN205" s="54">
        <v>1</v>
      </c>
      <c r="AO205" s="54">
        <v>1</v>
      </c>
      <c r="AP205" s="54">
        <v>1</v>
      </c>
      <c r="AQ205" s="54">
        <v>1</v>
      </c>
      <c r="AR205" s="54">
        <v>0</v>
      </c>
      <c r="AS205" s="54">
        <v>1</v>
      </c>
      <c r="AT205" s="54">
        <v>0</v>
      </c>
      <c r="AU205" s="54">
        <v>0</v>
      </c>
      <c r="AV205" s="54">
        <v>0</v>
      </c>
      <c r="AW205" s="54">
        <v>1</v>
      </c>
      <c r="AX205" s="54">
        <v>1</v>
      </c>
      <c r="AY205" s="54">
        <v>1</v>
      </c>
      <c r="AZ205" s="46">
        <f t="shared" si="46"/>
        <v>9</v>
      </c>
      <c r="BA205" s="46"/>
      <c r="BB205" s="54">
        <v>0</v>
      </c>
      <c r="BC205" s="54">
        <v>0</v>
      </c>
      <c r="BD205" s="54">
        <v>0</v>
      </c>
      <c r="BE205" s="54">
        <v>0</v>
      </c>
      <c r="BF205" s="54">
        <v>0</v>
      </c>
      <c r="BG205" s="54">
        <v>0</v>
      </c>
      <c r="BH205" s="54">
        <v>0</v>
      </c>
      <c r="BI205" s="54">
        <v>1</v>
      </c>
      <c r="BJ205" s="46">
        <f t="shared" si="47"/>
        <v>1</v>
      </c>
      <c r="BK205" s="50"/>
      <c r="BL205" s="54">
        <v>0</v>
      </c>
      <c r="BM205" s="54">
        <v>0</v>
      </c>
      <c r="BN205" s="54">
        <v>0</v>
      </c>
      <c r="BO205" s="54">
        <v>0</v>
      </c>
      <c r="BP205" s="54">
        <v>0</v>
      </c>
      <c r="BQ205" s="54">
        <v>0</v>
      </c>
      <c r="BR205" s="54">
        <v>0</v>
      </c>
      <c r="BS205" s="47">
        <f t="shared" si="48"/>
        <v>0</v>
      </c>
      <c r="BT205" s="46"/>
      <c r="BU205" s="44">
        <f t="shared" si="49"/>
        <v>13</v>
      </c>
      <c r="BV205" s="44">
        <f t="shared" si="50"/>
        <v>9</v>
      </c>
      <c r="BW205" s="44">
        <f t="shared" si="51"/>
        <v>22</v>
      </c>
      <c r="BX205" s="44">
        <f t="shared" si="52"/>
        <v>1</v>
      </c>
      <c r="BY205" s="44">
        <f t="shared" si="53"/>
        <v>0</v>
      </c>
      <c r="BZ205" s="56"/>
      <c r="CA205" s="44">
        <f t="shared" si="54"/>
        <v>23</v>
      </c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6"/>
      <c r="CV205" s="56"/>
    </row>
    <row r="206" spans="1:100" s="49" customFormat="1" ht="15.75" customHeight="1" x14ac:dyDescent="0.25">
      <c r="A206" s="40" t="s">
        <v>531</v>
      </c>
      <c r="B206" s="46" t="s">
        <v>88</v>
      </c>
      <c r="C206" s="61">
        <v>-33505741</v>
      </c>
      <c r="D206" s="50">
        <v>-70624308</v>
      </c>
      <c r="E206" s="54" t="s">
        <v>675</v>
      </c>
      <c r="F206" s="54">
        <v>-33506894</v>
      </c>
      <c r="G206" s="54">
        <v>-7062328</v>
      </c>
      <c r="H206" s="54" t="s">
        <v>676</v>
      </c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46">
        <f t="shared" si="45"/>
        <v>0</v>
      </c>
      <c r="AL206" s="46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46">
        <f t="shared" si="46"/>
        <v>0</v>
      </c>
      <c r="BA206" s="46"/>
      <c r="BB206" s="54"/>
      <c r="BC206" s="54"/>
      <c r="BD206" s="54"/>
      <c r="BE206" s="54"/>
      <c r="BF206" s="54"/>
      <c r="BG206" s="54"/>
      <c r="BH206" s="54"/>
      <c r="BI206" s="54"/>
      <c r="BJ206" s="46">
        <f t="shared" si="47"/>
        <v>0</v>
      </c>
      <c r="BK206" s="50"/>
      <c r="BL206" s="54"/>
      <c r="BM206" s="54"/>
      <c r="BN206" s="54"/>
      <c r="BO206" s="54"/>
      <c r="BP206" s="54"/>
      <c r="BQ206" s="54"/>
      <c r="BR206" s="54"/>
      <c r="BS206" s="47">
        <f t="shared" si="48"/>
        <v>0</v>
      </c>
      <c r="BT206" s="46"/>
      <c r="BU206" s="44">
        <f t="shared" si="49"/>
        <v>0</v>
      </c>
      <c r="BV206" s="44">
        <f t="shared" si="50"/>
        <v>0</v>
      </c>
      <c r="BW206" s="44">
        <f t="shared" si="51"/>
        <v>0</v>
      </c>
      <c r="BX206" s="44">
        <f t="shared" si="52"/>
        <v>0</v>
      </c>
      <c r="BY206" s="44">
        <f t="shared" si="53"/>
        <v>0</v>
      </c>
      <c r="BZ206" s="56"/>
      <c r="CA206" s="44">
        <f t="shared" si="54"/>
        <v>0</v>
      </c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  <c r="CS206" s="56"/>
      <c r="CT206" s="56"/>
      <c r="CU206" s="56"/>
      <c r="CV206" s="56"/>
    </row>
    <row r="207" spans="1:100" s="49" customFormat="1" ht="16.5" customHeight="1" x14ac:dyDescent="0.25">
      <c r="A207" s="40" t="s">
        <v>531</v>
      </c>
      <c r="B207" s="46" t="s">
        <v>88</v>
      </c>
      <c r="C207" s="61">
        <v>-33505741</v>
      </c>
      <c r="D207" s="50">
        <v>-70624308</v>
      </c>
      <c r="E207" s="54" t="s">
        <v>677</v>
      </c>
      <c r="F207" s="54">
        <v>-33506832</v>
      </c>
      <c r="G207" s="54">
        <v>-70623215</v>
      </c>
      <c r="H207" s="54" t="s">
        <v>678</v>
      </c>
      <c r="I207" s="54">
        <v>1</v>
      </c>
      <c r="J207" s="54">
        <v>0</v>
      </c>
      <c r="K207" s="54">
        <v>0</v>
      </c>
      <c r="L207" s="54">
        <v>0</v>
      </c>
      <c r="M207" s="54">
        <v>1</v>
      </c>
      <c r="N207" s="54">
        <v>1</v>
      </c>
      <c r="O207" s="54">
        <v>1</v>
      </c>
      <c r="P207" s="54">
        <v>0</v>
      </c>
      <c r="Q207" s="54">
        <v>1</v>
      </c>
      <c r="R207" s="54">
        <v>0</v>
      </c>
      <c r="S207" s="54">
        <v>1</v>
      </c>
      <c r="T207" s="54">
        <v>1</v>
      </c>
      <c r="U207" s="54">
        <v>0</v>
      </c>
      <c r="V207" s="54">
        <v>0</v>
      </c>
      <c r="W207" s="54">
        <v>1</v>
      </c>
      <c r="X207" s="54">
        <v>1</v>
      </c>
      <c r="Y207" s="54">
        <v>0</v>
      </c>
      <c r="Z207" s="54">
        <v>1</v>
      </c>
      <c r="AA207" s="54">
        <v>0</v>
      </c>
      <c r="AB207" s="54">
        <v>0</v>
      </c>
      <c r="AC207" s="54">
        <v>1</v>
      </c>
      <c r="AD207" s="54">
        <v>1</v>
      </c>
      <c r="AE207" s="54">
        <v>0</v>
      </c>
      <c r="AF207" s="54">
        <v>1</v>
      </c>
      <c r="AG207" s="54">
        <v>1</v>
      </c>
      <c r="AH207" s="54">
        <v>1</v>
      </c>
      <c r="AI207" s="54">
        <v>1</v>
      </c>
      <c r="AJ207" s="54">
        <v>1</v>
      </c>
      <c r="AK207" s="46">
        <f t="shared" si="45"/>
        <v>17</v>
      </c>
      <c r="AL207" s="46"/>
      <c r="AM207" s="54">
        <v>1</v>
      </c>
      <c r="AN207" s="54">
        <v>1</v>
      </c>
      <c r="AO207" s="54">
        <v>1</v>
      </c>
      <c r="AP207" s="54">
        <v>1</v>
      </c>
      <c r="AQ207" s="54">
        <v>1</v>
      </c>
      <c r="AR207" s="54">
        <v>1</v>
      </c>
      <c r="AS207" s="54">
        <v>1</v>
      </c>
      <c r="AT207" s="54">
        <v>0</v>
      </c>
      <c r="AU207" s="54">
        <v>0</v>
      </c>
      <c r="AV207" s="54">
        <v>0</v>
      </c>
      <c r="AW207" s="54">
        <v>1</v>
      </c>
      <c r="AX207" s="54">
        <v>1</v>
      </c>
      <c r="AY207" s="54">
        <v>1</v>
      </c>
      <c r="AZ207" s="46">
        <f t="shared" si="46"/>
        <v>10</v>
      </c>
      <c r="BA207" s="46"/>
      <c r="BB207" s="54">
        <v>0</v>
      </c>
      <c r="BC207" s="54">
        <v>0</v>
      </c>
      <c r="BD207" s="54">
        <v>0</v>
      </c>
      <c r="BE207" s="54">
        <v>1</v>
      </c>
      <c r="BF207" s="54">
        <v>0</v>
      </c>
      <c r="BG207" s="54">
        <v>0</v>
      </c>
      <c r="BH207" s="54">
        <v>0</v>
      </c>
      <c r="BI207" s="54">
        <v>1</v>
      </c>
      <c r="BJ207" s="46">
        <f t="shared" si="47"/>
        <v>2</v>
      </c>
      <c r="BK207" s="50"/>
      <c r="BL207" s="54">
        <v>0</v>
      </c>
      <c r="BM207" s="54">
        <v>0</v>
      </c>
      <c r="BN207" s="54">
        <v>0</v>
      </c>
      <c r="BO207" s="54">
        <v>0</v>
      </c>
      <c r="BP207" s="54">
        <v>0</v>
      </c>
      <c r="BQ207" s="54">
        <v>0</v>
      </c>
      <c r="BR207" s="54">
        <v>0</v>
      </c>
      <c r="BS207" s="47">
        <f t="shared" si="48"/>
        <v>0</v>
      </c>
      <c r="BT207" s="46"/>
      <c r="BU207" s="44">
        <f t="shared" si="49"/>
        <v>17</v>
      </c>
      <c r="BV207" s="44">
        <f t="shared" si="50"/>
        <v>10</v>
      </c>
      <c r="BW207" s="44">
        <f t="shared" si="51"/>
        <v>27</v>
      </c>
      <c r="BX207" s="44">
        <f t="shared" si="52"/>
        <v>2</v>
      </c>
      <c r="BY207" s="44">
        <f t="shared" si="53"/>
        <v>0</v>
      </c>
      <c r="BZ207" s="56"/>
      <c r="CA207" s="44">
        <f t="shared" si="54"/>
        <v>29</v>
      </c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56"/>
      <c r="CP207" s="56"/>
      <c r="CQ207" s="56"/>
      <c r="CR207" s="56"/>
      <c r="CS207" s="56"/>
      <c r="CT207" s="56"/>
      <c r="CU207" s="56"/>
      <c r="CV207" s="56"/>
    </row>
    <row r="208" spans="1:100" s="49" customFormat="1" ht="16.5" customHeight="1" x14ac:dyDescent="0.25">
      <c r="A208" s="40" t="s">
        <v>531</v>
      </c>
      <c r="B208" s="46" t="s">
        <v>88</v>
      </c>
      <c r="C208" s="61">
        <v>-33505741</v>
      </c>
      <c r="D208" s="50">
        <v>-70624308</v>
      </c>
      <c r="E208" s="54" t="s">
        <v>679</v>
      </c>
      <c r="F208" s="54">
        <v>-33507517</v>
      </c>
      <c r="G208" s="54">
        <v>-70623011</v>
      </c>
      <c r="H208" s="54" t="s">
        <v>676</v>
      </c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46">
        <f t="shared" si="45"/>
        <v>0</v>
      </c>
      <c r="AL208" s="46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46">
        <f t="shared" si="46"/>
        <v>0</v>
      </c>
      <c r="BA208" s="46"/>
      <c r="BB208" s="54"/>
      <c r="BC208" s="54"/>
      <c r="BD208" s="54"/>
      <c r="BE208" s="54"/>
      <c r="BF208" s="54"/>
      <c r="BG208" s="54"/>
      <c r="BH208" s="54"/>
      <c r="BI208" s="54"/>
      <c r="BJ208" s="46">
        <f t="shared" si="47"/>
        <v>0</v>
      </c>
      <c r="BK208" s="50"/>
      <c r="BL208" s="54"/>
      <c r="BM208" s="54"/>
      <c r="BN208" s="54"/>
      <c r="BO208" s="54"/>
      <c r="BP208" s="54"/>
      <c r="BQ208" s="54"/>
      <c r="BR208" s="54"/>
      <c r="BS208" s="47">
        <f t="shared" si="48"/>
        <v>0</v>
      </c>
      <c r="BT208" s="46"/>
      <c r="BU208" s="44">
        <f t="shared" si="49"/>
        <v>0</v>
      </c>
      <c r="BV208" s="44">
        <f t="shared" si="50"/>
        <v>0</v>
      </c>
      <c r="BW208" s="44">
        <f t="shared" si="51"/>
        <v>0</v>
      </c>
      <c r="BX208" s="44">
        <f t="shared" si="52"/>
        <v>0</v>
      </c>
      <c r="BY208" s="44">
        <f t="shared" si="53"/>
        <v>0</v>
      </c>
      <c r="BZ208" s="56"/>
      <c r="CA208" s="44">
        <f t="shared" si="54"/>
        <v>0</v>
      </c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56"/>
      <c r="CP208" s="56"/>
      <c r="CQ208" s="56"/>
      <c r="CR208" s="56"/>
      <c r="CS208" s="56"/>
      <c r="CT208" s="56"/>
      <c r="CU208" s="56"/>
      <c r="CV208" s="56"/>
    </row>
    <row r="209" spans="1:100" s="49" customFormat="1" ht="16.5" customHeight="1" x14ac:dyDescent="0.25">
      <c r="A209" s="40" t="s">
        <v>531</v>
      </c>
      <c r="B209" s="46" t="s">
        <v>88</v>
      </c>
      <c r="C209" s="61">
        <v>-33505741</v>
      </c>
      <c r="D209" s="50">
        <v>-70624308</v>
      </c>
      <c r="E209" s="54" t="s">
        <v>680</v>
      </c>
      <c r="F209" s="54">
        <v>-33505891</v>
      </c>
      <c r="G209" s="54">
        <v>-70623561</v>
      </c>
      <c r="H209" s="54" t="s">
        <v>681</v>
      </c>
      <c r="I209" s="54">
        <v>0</v>
      </c>
      <c r="J209" s="54">
        <v>0</v>
      </c>
      <c r="K209" s="54">
        <v>0</v>
      </c>
      <c r="L209" s="54">
        <v>0</v>
      </c>
      <c r="M209" s="54">
        <v>0</v>
      </c>
      <c r="N209" s="54">
        <v>1</v>
      </c>
      <c r="O209" s="54">
        <v>1</v>
      </c>
      <c r="P209" s="54">
        <v>0</v>
      </c>
      <c r="Q209" s="54">
        <v>0</v>
      </c>
      <c r="R209" s="54">
        <v>1</v>
      </c>
      <c r="S209" s="54">
        <v>0</v>
      </c>
      <c r="T209" s="54">
        <v>0</v>
      </c>
      <c r="U209" s="54">
        <v>0</v>
      </c>
      <c r="V209" s="54">
        <v>0</v>
      </c>
      <c r="W209" s="54">
        <v>1</v>
      </c>
      <c r="X209" s="54">
        <v>1</v>
      </c>
      <c r="Y209" s="54">
        <v>0</v>
      </c>
      <c r="Z209" s="54">
        <v>0</v>
      </c>
      <c r="AA209" s="54">
        <v>0</v>
      </c>
      <c r="AB209" s="54">
        <v>0</v>
      </c>
      <c r="AC209" s="54">
        <v>1</v>
      </c>
      <c r="AD209" s="54">
        <v>1</v>
      </c>
      <c r="AE209" s="54">
        <v>0</v>
      </c>
      <c r="AF209" s="54">
        <v>1</v>
      </c>
      <c r="AG209" s="54">
        <v>1</v>
      </c>
      <c r="AH209" s="54">
        <v>1</v>
      </c>
      <c r="AI209" s="54">
        <v>1</v>
      </c>
      <c r="AJ209" s="54">
        <v>1</v>
      </c>
      <c r="AK209" s="46">
        <f t="shared" si="45"/>
        <v>12</v>
      </c>
      <c r="AL209" s="46"/>
      <c r="AM209" s="54">
        <v>1</v>
      </c>
      <c r="AN209" s="54">
        <v>1</v>
      </c>
      <c r="AO209" s="54">
        <v>1</v>
      </c>
      <c r="AP209" s="54">
        <v>1</v>
      </c>
      <c r="AQ209" s="54">
        <v>1</v>
      </c>
      <c r="AR209" s="54">
        <v>1</v>
      </c>
      <c r="AS209" s="54">
        <v>1</v>
      </c>
      <c r="AT209" s="54">
        <v>1</v>
      </c>
      <c r="AU209" s="54">
        <v>0</v>
      </c>
      <c r="AV209" s="54">
        <v>0</v>
      </c>
      <c r="AW209" s="54">
        <v>1</v>
      </c>
      <c r="AX209" s="54">
        <v>1</v>
      </c>
      <c r="AY209" s="54">
        <v>1</v>
      </c>
      <c r="AZ209" s="46">
        <f t="shared" si="46"/>
        <v>11</v>
      </c>
      <c r="BA209" s="46"/>
      <c r="BB209" s="54">
        <v>0</v>
      </c>
      <c r="BC209" s="54">
        <v>0</v>
      </c>
      <c r="BD209" s="54">
        <v>0</v>
      </c>
      <c r="BE209" s="54">
        <v>0</v>
      </c>
      <c r="BF209" s="54">
        <v>0</v>
      </c>
      <c r="BG209" s="54">
        <v>0</v>
      </c>
      <c r="BH209" s="54">
        <v>0</v>
      </c>
      <c r="BI209" s="54">
        <v>1</v>
      </c>
      <c r="BJ209" s="46">
        <f t="shared" si="47"/>
        <v>1</v>
      </c>
      <c r="BK209" s="50"/>
      <c r="BL209" s="54">
        <v>0</v>
      </c>
      <c r="BM209" s="54">
        <v>0</v>
      </c>
      <c r="BN209" s="54">
        <v>0</v>
      </c>
      <c r="BO209" s="54">
        <v>0</v>
      </c>
      <c r="BP209" s="54">
        <v>0</v>
      </c>
      <c r="BQ209" s="54">
        <v>0</v>
      </c>
      <c r="BR209" s="54">
        <v>0</v>
      </c>
      <c r="BS209" s="47">
        <f t="shared" si="48"/>
        <v>0</v>
      </c>
      <c r="BT209" s="46"/>
      <c r="BU209" s="44">
        <f t="shared" si="49"/>
        <v>12</v>
      </c>
      <c r="BV209" s="44">
        <f t="shared" si="50"/>
        <v>11</v>
      </c>
      <c r="BW209" s="44">
        <f t="shared" si="51"/>
        <v>23</v>
      </c>
      <c r="BX209" s="44">
        <f t="shared" si="52"/>
        <v>1</v>
      </c>
      <c r="BY209" s="44">
        <f t="shared" si="53"/>
        <v>0</v>
      </c>
      <c r="BZ209" s="56"/>
      <c r="CA209" s="44">
        <f t="shared" si="54"/>
        <v>24</v>
      </c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  <c r="CS209" s="56"/>
      <c r="CT209" s="56"/>
      <c r="CU209" s="56"/>
      <c r="CV209" s="56"/>
    </row>
    <row r="210" spans="1:100" s="49" customFormat="1" ht="16.5" customHeight="1" x14ac:dyDescent="0.25">
      <c r="A210" s="40" t="s">
        <v>531</v>
      </c>
      <c r="B210" s="46" t="s">
        <v>88</v>
      </c>
      <c r="C210" s="61">
        <v>-33505741</v>
      </c>
      <c r="D210" s="50">
        <v>-70624308</v>
      </c>
      <c r="E210" s="54" t="s">
        <v>682</v>
      </c>
      <c r="F210" s="54">
        <v>-33505891</v>
      </c>
      <c r="G210" s="54">
        <v>-706233561</v>
      </c>
      <c r="H210" s="54" t="s">
        <v>683</v>
      </c>
      <c r="I210" s="54">
        <v>0</v>
      </c>
      <c r="J210" s="54">
        <v>0</v>
      </c>
      <c r="K210" s="54">
        <v>0</v>
      </c>
      <c r="L210" s="54">
        <v>0</v>
      </c>
      <c r="M210" s="54">
        <v>0</v>
      </c>
      <c r="N210" s="54">
        <v>1</v>
      </c>
      <c r="O210" s="54">
        <v>1</v>
      </c>
      <c r="P210" s="54">
        <v>0</v>
      </c>
      <c r="Q210" s="54">
        <v>1</v>
      </c>
      <c r="R210" s="54">
        <v>1</v>
      </c>
      <c r="S210" s="54">
        <v>1</v>
      </c>
      <c r="T210" s="54">
        <v>1</v>
      </c>
      <c r="U210" s="54">
        <v>0</v>
      </c>
      <c r="V210" s="54">
        <v>0</v>
      </c>
      <c r="W210" s="54">
        <v>1</v>
      </c>
      <c r="X210" s="54">
        <v>1</v>
      </c>
      <c r="Y210" s="54">
        <v>0</v>
      </c>
      <c r="Z210" s="54">
        <v>0</v>
      </c>
      <c r="AA210" s="54">
        <v>0</v>
      </c>
      <c r="AB210" s="54">
        <v>0</v>
      </c>
      <c r="AC210" s="54">
        <v>1</v>
      </c>
      <c r="AD210" s="54">
        <v>1</v>
      </c>
      <c r="AE210" s="54">
        <v>0</v>
      </c>
      <c r="AF210" s="54">
        <v>1</v>
      </c>
      <c r="AG210" s="54">
        <v>1</v>
      </c>
      <c r="AH210" s="54">
        <v>1</v>
      </c>
      <c r="AI210" s="54">
        <v>1</v>
      </c>
      <c r="AJ210" s="54">
        <v>1</v>
      </c>
      <c r="AK210" s="46">
        <f t="shared" si="45"/>
        <v>15</v>
      </c>
      <c r="AL210" s="46"/>
      <c r="AM210" s="54">
        <v>1</v>
      </c>
      <c r="AN210" s="54">
        <v>1</v>
      </c>
      <c r="AO210" s="54">
        <v>1</v>
      </c>
      <c r="AP210" s="54">
        <v>1</v>
      </c>
      <c r="AQ210" s="54">
        <v>1</v>
      </c>
      <c r="AR210" s="54">
        <v>0</v>
      </c>
      <c r="AS210" s="54">
        <v>0</v>
      </c>
      <c r="AT210" s="54">
        <v>0</v>
      </c>
      <c r="AU210" s="54">
        <v>0</v>
      </c>
      <c r="AV210" s="54">
        <v>0</v>
      </c>
      <c r="AW210" s="54">
        <v>1</v>
      </c>
      <c r="AX210" s="54">
        <v>1</v>
      </c>
      <c r="AY210" s="54">
        <v>1</v>
      </c>
      <c r="AZ210" s="46">
        <f t="shared" si="46"/>
        <v>8</v>
      </c>
      <c r="BA210" s="46"/>
      <c r="BB210" s="54">
        <v>0</v>
      </c>
      <c r="BC210" s="54">
        <v>0</v>
      </c>
      <c r="BD210" s="54">
        <v>0</v>
      </c>
      <c r="BE210" s="54">
        <v>0</v>
      </c>
      <c r="BF210" s="54">
        <v>0</v>
      </c>
      <c r="BG210" s="54">
        <v>0</v>
      </c>
      <c r="BH210" s="54">
        <v>0</v>
      </c>
      <c r="BI210" s="54">
        <v>1</v>
      </c>
      <c r="BJ210" s="46">
        <f t="shared" si="47"/>
        <v>1</v>
      </c>
      <c r="BK210" s="50"/>
      <c r="BL210" s="54">
        <v>0</v>
      </c>
      <c r="BM210" s="54">
        <v>0</v>
      </c>
      <c r="BN210" s="54">
        <v>0</v>
      </c>
      <c r="BO210" s="54">
        <v>0</v>
      </c>
      <c r="BP210" s="54">
        <v>0</v>
      </c>
      <c r="BQ210" s="54">
        <v>0</v>
      </c>
      <c r="BR210" s="54">
        <v>0</v>
      </c>
      <c r="BS210" s="47">
        <f t="shared" si="48"/>
        <v>0</v>
      </c>
      <c r="BT210" s="46"/>
      <c r="BU210" s="44">
        <f t="shared" si="49"/>
        <v>15</v>
      </c>
      <c r="BV210" s="44">
        <f t="shared" si="50"/>
        <v>8</v>
      </c>
      <c r="BW210" s="44">
        <f t="shared" si="51"/>
        <v>23</v>
      </c>
      <c r="BX210" s="44">
        <f t="shared" si="52"/>
        <v>1</v>
      </c>
      <c r="BY210" s="44">
        <f t="shared" si="53"/>
        <v>0</v>
      </c>
      <c r="BZ210" s="56"/>
      <c r="CA210" s="44">
        <f t="shared" si="54"/>
        <v>24</v>
      </c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6"/>
      <c r="CV210" s="56"/>
    </row>
    <row r="211" spans="1:100" s="49" customFormat="1" ht="16.5" customHeight="1" x14ac:dyDescent="0.25">
      <c r="A211" s="40" t="s">
        <v>531</v>
      </c>
      <c r="B211" s="46" t="s">
        <v>88</v>
      </c>
      <c r="C211" s="61">
        <v>-33505741</v>
      </c>
      <c r="D211" s="50">
        <v>-70624308</v>
      </c>
      <c r="E211" s="54" t="s">
        <v>684</v>
      </c>
      <c r="F211" s="54">
        <v>-33505103</v>
      </c>
      <c r="G211" s="54">
        <v>-70623771</v>
      </c>
      <c r="H211" s="54" t="s">
        <v>685</v>
      </c>
      <c r="I211" s="54">
        <v>0</v>
      </c>
      <c r="J211" s="54">
        <v>0</v>
      </c>
      <c r="K211" s="54">
        <v>0</v>
      </c>
      <c r="L211" s="54">
        <v>1</v>
      </c>
      <c r="M211" s="54">
        <v>0</v>
      </c>
      <c r="N211" s="54">
        <v>0</v>
      </c>
      <c r="O211" s="54">
        <v>0</v>
      </c>
      <c r="P211" s="54">
        <v>0</v>
      </c>
      <c r="Q211" s="54">
        <v>0</v>
      </c>
      <c r="R211" s="54">
        <v>0</v>
      </c>
      <c r="S211" s="54">
        <v>0</v>
      </c>
      <c r="T211" s="54">
        <v>0</v>
      </c>
      <c r="U211" s="54">
        <v>0</v>
      </c>
      <c r="V211" s="54">
        <v>0</v>
      </c>
      <c r="W211" s="54">
        <v>0</v>
      </c>
      <c r="X211" s="54">
        <v>0</v>
      </c>
      <c r="Y211" s="54">
        <v>0</v>
      </c>
      <c r="Z211" s="54">
        <v>0</v>
      </c>
      <c r="AA211" s="54">
        <v>0</v>
      </c>
      <c r="AB211" s="54">
        <v>0</v>
      </c>
      <c r="AC211" s="54">
        <v>1</v>
      </c>
      <c r="AD211" s="54">
        <v>1</v>
      </c>
      <c r="AE211" s="54">
        <v>0</v>
      </c>
      <c r="AF211" s="54">
        <v>1</v>
      </c>
      <c r="AG211" s="54">
        <v>1</v>
      </c>
      <c r="AH211" s="54">
        <v>0</v>
      </c>
      <c r="AI211" s="54">
        <v>0</v>
      </c>
      <c r="AJ211" s="54">
        <v>0</v>
      </c>
      <c r="AK211" s="46">
        <f t="shared" si="45"/>
        <v>5</v>
      </c>
      <c r="AL211" s="46"/>
      <c r="AM211" s="54">
        <v>1</v>
      </c>
      <c r="AN211" s="54">
        <v>1</v>
      </c>
      <c r="AO211" s="54">
        <v>0</v>
      </c>
      <c r="AP211" s="54">
        <v>0</v>
      </c>
      <c r="AQ211" s="54">
        <v>0</v>
      </c>
      <c r="AR211" s="54">
        <v>0</v>
      </c>
      <c r="AS211" s="54">
        <v>0</v>
      </c>
      <c r="AT211" s="54">
        <v>0</v>
      </c>
      <c r="AU211" s="54">
        <v>0</v>
      </c>
      <c r="AV211" s="54">
        <v>0</v>
      </c>
      <c r="AW211" s="54">
        <v>1</v>
      </c>
      <c r="AX211" s="54">
        <v>1</v>
      </c>
      <c r="AY211" s="54">
        <v>1</v>
      </c>
      <c r="AZ211" s="46">
        <f t="shared" si="46"/>
        <v>5</v>
      </c>
      <c r="BA211" s="46"/>
      <c r="BB211" s="54">
        <v>0</v>
      </c>
      <c r="BC211" s="54">
        <v>0</v>
      </c>
      <c r="BD211" s="54">
        <v>0</v>
      </c>
      <c r="BE211" s="54">
        <v>0</v>
      </c>
      <c r="BF211" s="54">
        <v>0</v>
      </c>
      <c r="BG211" s="54">
        <v>0</v>
      </c>
      <c r="BH211" s="54">
        <v>0</v>
      </c>
      <c r="BI211" s="54">
        <v>1</v>
      </c>
      <c r="BJ211" s="46">
        <f t="shared" si="47"/>
        <v>1</v>
      </c>
      <c r="BK211" s="50"/>
      <c r="BL211" s="54">
        <v>0</v>
      </c>
      <c r="BM211" s="54">
        <v>0</v>
      </c>
      <c r="BN211" s="54">
        <v>0</v>
      </c>
      <c r="BO211" s="54">
        <v>0</v>
      </c>
      <c r="BP211" s="54">
        <v>0</v>
      </c>
      <c r="BQ211" s="54">
        <v>0</v>
      </c>
      <c r="BR211" s="54">
        <v>0</v>
      </c>
      <c r="BS211" s="47">
        <f t="shared" si="48"/>
        <v>0</v>
      </c>
      <c r="BT211" s="46"/>
      <c r="BU211" s="44">
        <f t="shared" si="49"/>
        <v>5</v>
      </c>
      <c r="BV211" s="44">
        <f t="shared" si="50"/>
        <v>5</v>
      </c>
      <c r="BW211" s="44">
        <f t="shared" si="51"/>
        <v>10</v>
      </c>
      <c r="BX211" s="44">
        <f t="shared" si="52"/>
        <v>1</v>
      </c>
      <c r="BY211" s="44">
        <f t="shared" si="53"/>
        <v>0</v>
      </c>
      <c r="BZ211" s="56"/>
      <c r="CA211" s="44">
        <f t="shared" si="54"/>
        <v>11</v>
      </c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  <c r="CS211" s="56"/>
      <c r="CT211" s="56"/>
      <c r="CU211" s="56"/>
      <c r="CV211" s="56"/>
    </row>
    <row r="212" spans="1:100" s="49" customFormat="1" ht="16.5" customHeight="1" x14ac:dyDescent="0.25">
      <c r="A212" s="40" t="s">
        <v>531</v>
      </c>
      <c r="B212" s="46" t="s">
        <v>88</v>
      </c>
      <c r="C212" s="61">
        <v>-33505741</v>
      </c>
      <c r="D212" s="50">
        <v>-70624308</v>
      </c>
      <c r="E212" s="54" t="s">
        <v>686</v>
      </c>
      <c r="F212" s="54">
        <v>-33504564</v>
      </c>
      <c r="G212" s="54">
        <v>-7062297</v>
      </c>
      <c r="H212" s="54" t="s">
        <v>687</v>
      </c>
      <c r="I212" s="54">
        <v>1</v>
      </c>
      <c r="J212" s="54">
        <v>0</v>
      </c>
      <c r="K212" s="54">
        <v>1</v>
      </c>
      <c r="L212" s="54">
        <v>1</v>
      </c>
      <c r="M212" s="54">
        <v>1</v>
      </c>
      <c r="N212" s="54">
        <v>1</v>
      </c>
      <c r="O212" s="54">
        <v>1</v>
      </c>
      <c r="P212" s="54">
        <v>0</v>
      </c>
      <c r="Q212" s="54">
        <v>1</v>
      </c>
      <c r="R212" s="54">
        <v>0</v>
      </c>
      <c r="S212" s="54">
        <v>0</v>
      </c>
      <c r="T212" s="54">
        <v>1</v>
      </c>
      <c r="U212" s="54">
        <v>0</v>
      </c>
      <c r="V212" s="54">
        <v>0</v>
      </c>
      <c r="W212" s="54">
        <v>1</v>
      </c>
      <c r="X212" s="54">
        <v>1</v>
      </c>
      <c r="Y212" s="54">
        <v>1</v>
      </c>
      <c r="Z212" s="54">
        <v>0</v>
      </c>
      <c r="AA212" s="54">
        <v>0</v>
      </c>
      <c r="AB212" s="54">
        <v>0</v>
      </c>
      <c r="AC212" s="54">
        <v>1</v>
      </c>
      <c r="AD212" s="54">
        <v>1</v>
      </c>
      <c r="AE212" s="54">
        <v>0</v>
      </c>
      <c r="AF212" s="54">
        <v>1</v>
      </c>
      <c r="AG212" s="54">
        <v>1</v>
      </c>
      <c r="AH212" s="54">
        <v>0</v>
      </c>
      <c r="AI212" s="54">
        <v>0</v>
      </c>
      <c r="AJ212" s="54">
        <v>0</v>
      </c>
      <c r="AK212" s="46">
        <f t="shared" si="45"/>
        <v>15</v>
      </c>
      <c r="AL212" s="46"/>
      <c r="AM212" s="54">
        <v>1</v>
      </c>
      <c r="AN212" s="54">
        <v>1</v>
      </c>
      <c r="AO212" s="54">
        <v>1</v>
      </c>
      <c r="AP212" s="54">
        <v>1</v>
      </c>
      <c r="AQ212" s="54">
        <v>1</v>
      </c>
      <c r="AR212" s="54">
        <v>0</v>
      </c>
      <c r="AS212" s="54">
        <v>0</v>
      </c>
      <c r="AT212" s="54">
        <v>0</v>
      </c>
      <c r="AU212" s="54">
        <v>0</v>
      </c>
      <c r="AV212" s="54">
        <v>0</v>
      </c>
      <c r="AW212" s="54">
        <v>1</v>
      </c>
      <c r="AX212" s="54">
        <v>1</v>
      </c>
      <c r="AY212" s="54">
        <v>1</v>
      </c>
      <c r="AZ212" s="46">
        <f t="shared" si="46"/>
        <v>8</v>
      </c>
      <c r="BA212" s="46"/>
      <c r="BB212" s="54">
        <v>1</v>
      </c>
      <c r="BC212" s="54">
        <v>1</v>
      </c>
      <c r="BD212" s="54">
        <v>1</v>
      </c>
      <c r="BE212" s="54">
        <v>0</v>
      </c>
      <c r="BF212" s="54">
        <v>1</v>
      </c>
      <c r="BG212" s="54">
        <v>0</v>
      </c>
      <c r="BH212" s="54">
        <v>0</v>
      </c>
      <c r="BI212" s="54">
        <v>1</v>
      </c>
      <c r="BJ212" s="46">
        <f t="shared" si="47"/>
        <v>5</v>
      </c>
      <c r="BK212" s="50"/>
      <c r="BL212" s="54">
        <v>0</v>
      </c>
      <c r="BM212" s="54">
        <v>0</v>
      </c>
      <c r="BN212" s="54">
        <v>0</v>
      </c>
      <c r="BO212" s="54">
        <v>1</v>
      </c>
      <c r="BP212" s="54">
        <v>0</v>
      </c>
      <c r="BQ212" s="54">
        <v>0</v>
      </c>
      <c r="BR212" s="54">
        <v>0</v>
      </c>
      <c r="BS212" s="47">
        <f t="shared" si="48"/>
        <v>1</v>
      </c>
      <c r="BT212" s="46"/>
      <c r="BU212" s="44">
        <f t="shared" si="49"/>
        <v>15</v>
      </c>
      <c r="BV212" s="44">
        <f t="shared" si="50"/>
        <v>8</v>
      </c>
      <c r="BW212" s="44">
        <f t="shared" si="51"/>
        <v>23</v>
      </c>
      <c r="BX212" s="44">
        <f t="shared" si="52"/>
        <v>5</v>
      </c>
      <c r="BY212" s="44">
        <f t="shared" si="53"/>
        <v>1</v>
      </c>
      <c r="BZ212" s="56"/>
      <c r="CA212" s="44">
        <f t="shared" si="54"/>
        <v>29</v>
      </c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  <c r="CS212" s="56"/>
      <c r="CT212" s="56"/>
      <c r="CU212" s="56"/>
      <c r="CV212" s="56"/>
    </row>
    <row r="213" spans="1:100" s="49" customFormat="1" ht="16.5" customHeight="1" x14ac:dyDescent="0.25">
      <c r="A213" s="40" t="s">
        <v>531</v>
      </c>
      <c r="B213" s="46" t="s">
        <v>88</v>
      </c>
      <c r="C213" s="61">
        <v>-33505741</v>
      </c>
      <c r="D213" s="50">
        <v>-70624308</v>
      </c>
      <c r="E213" s="54" t="s">
        <v>688</v>
      </c>
      <c r="F213" s="54">
        <v>-33504165</v>
      </c>
      <c r="G213" s="54">
        <v>-70623956</v>
      </c>
      <c r="H213" s="54" t="s">
        <v>689</v>
      </c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46">
        <f t="shared" si="45"/>
        <v>0</v>
      </c>
      <c r="AL213" s="46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46">
        <f t="shared" si="46"/>
        <v>0</v>
      </c>
      <c r="BA213" s="46"/>
      <c r="BB213" s="54"/>
      <c r="BC213" s="54"/>
      <c r="BD213" s="54"/>
      <c r="BE213" s="54"/>
      <c r="BF213" s="54"/>
      <c r="BG213" s="54"/>
      <c r="BH213" s="54"/>
      <c r="BI213" s="54"/>
      <c r="BJ213" s="46">
        <f t="shared" si="47"/>
        <v>0</v>
      </c>
      <c r="BK213" s="50"/>
      <c r="BL213" s="54"/>
      <c r="BM213" s="54"/>
      <c r="BN213" s="54"/>
      <c r="BO213" s="54"/>
      <c r="BP213" s="54"/>
      <c r="BQ213" s="54"/>
      <c r="BR213" s="54"/>
      <c r="BS213" s="47">
        <f t="shared" si="48"/>
        <v>0</v>
      </c>
      <c r="BT213" s="46"/>
      <c r="BU213" s="44">
        <f t="shared" si="49"/>
        <v>0</v>
      </c>
      <c r="BV213" s="44">
        <f t="shared" si="50"/>
        <v>0</v>
      </c>
      <c r="BW213" s="44">
        <f t="shared" si="51"/>
        <v>0</v>
      </c>
      <c r="BX213" s="44">
        <f t="shared" si="52"/>
        <v>0</v>
      </c>
      <c r="BY213" s="44">
        <f t="shared" si="53"/>
        <v>0</v>
      </c>
      <c r="BZ213" s="56"/>
      <c r="CA213" s="44">
        <f t="shared" si="54"/>
        <v>0</v>
      </c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56"/>
      <c r="CP213" s="56"/>
      <c r="CQ213" s="56"/>
      <c r="CR213" s="56"/>
      <c r="CS213" s="56"/>
      <c r="CT213" s="56"/>
      <c r="CU213" s="56"/>
      <c r="CV213" s="56"/>
    </row>
    <row r="214" spans="1:100" s="49" customFormat="1" ht="16.5" customHeight="1" x14ac:dyDescent="0.25">
      <c r="A214" s="40" t="s">
        <v>531</v>
      </c>
      <c r="B214" s="46" t="s">
        <v>88</v>
      </c>
      <c r="C214" s="61">
        <v>-33505741</v>
      </c>
      <c r="D214" s="50">
        <v>-70624308</v>
      </c>
      <c r="E214" s="54" t="s">
        <v>690</v>
      </c>
      <c r="F214" s="54">
        <v>-335033411</v>
      </c>
      <c r="G214" s="54">
        <v>-70624127</v>
      </c>
      <c r="H214" s="54" t="s">
        <v>691</v>
      </c>
      <c r="I214" s="54">
        <v>1</v>
      </c>
      <c r="J214" s="54">
        <v>0</v>
      </c>
      <c r="K214" s="54">
        <v>0</v>
      </c>
      <c r="L214" s="54">
        <v>1</v>
      </c>
      <c r="M214" s="54">
        <v>1</v>
      </c>
      <c r="N214" s="54">
        <v>1</v>
      </c>
      <c r="O214" s="54">
        <v>1</v>
      </c>
      <c r="P214" s="54">
        <v>0</v>
      </c>
      <c r="Q214" s="54">
        <v>1</v>
      </c>
      <c r="R214" s="54">
        <v>1</v>
      </c>
      <c r="S214" s="54"/>
      <c r="T214" s="54">
        <v>1</v>
      </c>
      <c r="U214" s="54">
        <v>1</v>
      </c>
      <c r="V214" s="54">
        <v>0</v>
      </c>
      <c r="W214" s="54">
        <v>1</v>
      </c>
      <c r="X214" s="54">
        <v>1</v>
      </c>
      <c r="Y214" s="54">
        <v>0</v>
      </c>
      <c r="Z214" s="54">
        <v>1</v>
      </c>
      <c r="AA214" s="54">
        <v>1</v>
      </c>
      <c r="AB214" s="54">
        <v>0</v>
      </c>
      <c r="AC214" s="54">
        <v>1</v>
      </c>
      <c r="AD214" s="54">
        <v>1</v>
      </c>
      <c r="AE214" s="54">
        <v>0</v>
      </c>
      <c r="AF214" s="54">
        <v>1</v>
      </c>
      <c r="AG214" s="54">
        <v>1</v>
      </c>
      <c r="AH214" s="54">
        <v>1</v>
      </c>
      <c r="AI214" s="54">
        <v>1</v>
      </c>
      <c r="AJ214" s="54">
        <v>1</v>
      </c>
      <c r="AK214" s="46">
        <f t="shared" si="45"/>
        <v>20</v>
      </c>
      <c r="AL214" s="46"/>
      <c r="AM214" s="54">
        <v>1</v>
      </c>
      <c r="AN214" s="54">
        <v>1</v>
      </c>
      <c r="AO214" s="54">
        <v>1</v>
      </c>
      <c r="AP214" s="54">
        <v>1</v>
      </c>
      <c r="AQ214" s="54">
        <v>1</v>
      </c>
      <c r="AR214" s="54">
        <v>1</v>
      </c>
      <c r="AS214" s="54">
        <v>1</v>
      </c>
      <c r="AT214" s="54">
        <v>0</v>
      </c>
      <c r="AU214" s="54">
        <v>0</v>
      </c>
      <c r="AV214" s="54">
        <v>0</v>
      </c>
      <c r="AW214" s="54">
        <v>1</v>
      </c>
      <c r="AX214" s="54">
        <v>1</v>
      </c>
      <c r="AY214" s="54">
        <v>1</v>
      </c>
      <c r="AZ214" s="46">
        <f t="shared" si="46"/>
        <v>10</v>
      </c>
      <c r="BA214" s="46"/>
      <c r="BB214" s="54">
        <v>0</v>
      </c>
      <c r="BC214" s="54">
        <v>0</v>
      </c>
      <c r="BD214" s="54">
        <v>1</v>
      </c>
      <c r="BE214" s="54">
        <v>0</v>
      </c>
      <c r="BF214" s="54">
        <v>0</v>
      </c>
      <c r="BG214" s="54">
        <v>0</v>
      </c>
      <c r="BH214" s="54">
        <v>0</v>
      </c>
      <c r="BI214" s="54">
        <v>1</v>
      </c>
      <c r="BJ214" s="46">
        <f t="shared" si="47"/>
        <v>2</v>
      </c>
      <c r="BK214" s="50"/>
      <c r="BL214" s="54">
        <v>0</v>
      </c>
      <c r="BM214" s="54">
        <v>0</v>
      </c>
      <c r="BN214" s="54">
        <v>0</v>
      </c>
      <c r="BO214" s="54">
        <v>0</v>
      </c>
      <c r="BP214" s="54">
        <v>0</v>
      </c>
      <c r="BQ214" s="54">
        <v>0</v>
      </c>
      <c r="BR214" s="54">
        <v>0</v>
      </c>
      <c r="BS214" s="47">
        <f t="shared" si="48"/>
        <v>0</v>
      </c>
      <c r="BT214" s="46"/>
      <c r="BU214" s="44">
        <f t="shared" si="49"/>
        <v>20</v>
      </c>
      <c r="BV214" s="44">
        <f t="shared" si="50"/>
        <v>10</v>
      </c>
      <c r="BW214" s="44">
        <f t="shared" si="51"/>
        <v>30</v>
      </c>
      <c r="BX214" s="44">
        <f t="shared" si="52"/>
        <v>2</v>
      </c>
      <c r="BY214" s="44">
        <f t="shared" si="53"/>
        <v>0</v>
      </c>
      <c r="BZ214" s="56"/>
      <c r="CA214" s="44">
        <f t="shared" si="54"/>
        <v>32</v>
      </c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  <c r="CT214" s="56"/>
      <c r="CU214" s="56"/>
      <c r="CV214" s="56"/>
    </row>
    <row r="215" spans="1:100" s="49" customFormat="1" ht="15.75" customHeight="1" x14ac:dyDescent="0.25">
      <c r="A215" s="40" t="s">
        <v>531</v>
      </c>
      <c r="B215" s="46" t="s">
        <v>88</v>
      </c>
      <c r="C215" s="61">
        <v>-33505741</v>
      </c>
      <c r="D215" s="50">
        <v>-70624308</v>
      </c>
      <c r="E215" s="54" t="s">
        <v>692</v>
      </c>
      <c r="F215" s="54">
        <v>-33502648</v>
      </c>
      <c r="G215" s="54">
        <v>-70624111</v>
      </c>
      <c r="H215" s="54" t="s">
        <v>676</v>
      </c>
      <c r="I215" s="54">
        <v>1</v>
      </c>
      <c r="J215" s="54">
        <v>0</v>
      </c>
      <c r="K215" s="54">
        <v>1</v>
      </c>
      <c r="L215" s="54">
        <v>1</v>
      </c>
      <c r="M215" s="54">
        <v>1</v>
      </c>
      <c r="N215" s="54">
        <v>1</v>
      </c>
      <c r="O215" s="54">
        <v>1</v>
      </c>
      <c r="P215" s="54">
        <v>0</v>
      </c>
      <c r="Q215" s="54">
        <v>1</v>
      </c>
      <c r="R215" s="54">
        <v>1</v>
      </c>
      <c r="S215" s="54">
        <v>1</v>
      </c>
      <c r="T215" s="54">
        <v>1</v>
      </c>
      <c r="U215" s="54">
        <v>0</v>
      </c>
      <c r="V215" s="54">
        <v>0</v>
      </c>
      <c r="W215" s="54">
        <v>1</v>
      </c>
      <c r="X215" s="54">
        <v>1</v>
      </c>
      <c r="Y215" s="54">
        <v>0</v>
      </c>
      <c r="Z215" s="54">
        <v>1</v>
      </c>
      <c r="AA215" s="54">
        <v>1</v>
      </c>
      <c r="AB215" s="54">
        <v>0</v>
      </c>
      <c r="AC215" s="54">
        <v>1</v>
      </c>
      <c r="AD215" s="54">
        <v>1</v>
      </c>
      <c r="AE215" s="54">
        <v>0</v>
      </c>
      <c r="AF215" s="54">
        <v>1</v>
      </c>
      <c r="AG215" s="54">
        <v>1</v>
      </c>
      <c r="AH215" s="54">
        <v>1</v>
      </c>
      <c r="AI215" s="54">
        <v>1</v>
      </c>
      <c r="AJ215" s="54">
        <v>1</v>
      </c>
      <c r="AK215" s="46">
        <f t="shared" si="45"/>
        <v>21</v>
      </c>
      <c r="AL215" s="46"/>
      <c r="AM215" s="54">
        <v>1</v>
      </c>
      <c r="AN215" s="54">
        <v>1</v>
      </c>
      <c r="AO215" s="54">
        <v>1</v>
      </c>
      <c r="AP215" s="54">
        <v>1</v>
      </c>
      <c r="AQ215" s="54">
        <v>1</v>
      </c>
      <c r="AR215" s="54">
        <v>0</v>
      </c>
      <c r="AS215" s="54">
        <v>1</v>
      </c>
      <c r="AT215" s="54">
        <v>1</v>
      </c>
      <c r="AU215" s="54">
        <v>1</v>
      </c>
      <c r="AV215" s="54">
        <v>0</v>
      </c>
      <c r="AW215" s="54">
        <v>1</v>
      </c>
      <c r="AX215" s="54">
        <v>1</v>
      </c>
      <c r="AY215" s="54">
        <v>1</v>
      </c>
      <c r="AZ215" s="46">
        <f t="shared" si="46"/>
        <v>11</v>
      </c>
      <c r="BA215" s="46"/>
      <c r="BB215" s="54">
        <v>0</v>
      </c>
      <c r="BC215" s="54">
        <v>0</v>
      </c>
      <c r="BD215" s="54">
        <v>1</v>
      </c>
      <c r="BE215" s="54">
        <v>0</v>
      </c>
      <c r="BF215" s="54">
        <v>1</v>
      </c>
      <c r="BG215" s="54">
        <v>0</v>
      </c>
      <c r="BH215" s="54">
        <v>0</v>
      </c>
      <c r="BI215" s="54">
        <v>1</v>
      </c>
      <c r="BJ215" s="46">
        <f t="shared" si="47"/>
        <v>3</v>
      </c>
      <c r="BK215" s="50"/>
      <c r="BL215" s="54">
        <v>0</v>
      </c>
      <c r="BM215" s="54">
        <v>0</v>
      </c>
      <c r="BN215" s="54">
        <v>0</v>
      </c>
      <c r="BO215" s="54">
        <v>0</v>
      </c>
      <c r="BP215" s="54">
        <v>0</v>
      </c>
      <c r="BQ215" s="54">
        <v>0</v>
      </c>
      <c r="BR215" s="54">
        <v>0</v>
      </c>
      <c r="BS215" s="47">
        <f t="shared" si="48"/>
        <v>0</v>
      </c>
      <c r="BT215" s="46"/>
      <c r="BU215" s="44">
        <f t="shared" si="49"/>
        <v>21</v>
      </c>
      <c r="BV215" s="44">
        <f t="shared" si="50"/>
        <v>11</v>
      </c>
      <c r="BW215" s="44">
        <f t="shared" si="51"/>
        <v>32</v>
      </c>
      <c r="BX215" s="44">
        <f t="shared" si="52"/>
        <v>3</v>
      </c>
      <c r="BY215" s="44">
        <f t="shared" si="53"/>
        <v>0</v>
      </c>
      <c r="BZ215" s="56"/>
      <c r="CA215" s="44">
        <f t="shared" si="54"/>
        <v>35</v>
      </c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6"/>
      <c r="CV215" s="56"/>
    </row>
    <row r="216" spans="1:100" s="49" customFormat="1" ht="15.75" customHeight="1" x14ac:dyDescent="0.25">
      <c r="A216" s="40" t="s">
        <v>531</v>
      </c>
      <c r="B216" s="46" t="s">
        <v>88</v>
      </c>
      <c r="C216" s="61">
        <v>-33505741</v>
      </c>
      <c r="D216" s="50">
        <v>-70624308</v>
      </c>
      <c r="E216" s="54" t="s">
        <v>693</v>
      </c>
      <c r="F216" s="54">
        <v>-33502369</v>
      </c>
      <c r="G216" s="54">
        <v>-70624169</v>
      </c>
      <c r="H216" s="54" t="s">
        <v>694</v>
      </c>
      <c r="I216" s="54">
        <v>0</v>
      </c>
      <c r="J216" s="54">
        <v>0</v>
      </c>
      <c r="K216" s="54">
        <v>0</v>
      </c>
      <c r="L216" s="54">
        <v>0</v>
      </c>
      <c r="M216" s="54">
        <v>0</v>
      </c>
      <c r="N216" s="54">
        <v>1</v>
      </c>
      <c r="O216" s="54">
        <v>1</v>
      </c>
      <c r="P216" s="54">
        <v>0</v>
      </c>
      <c r="Q216" s="54">
        <v>1</v>
      </c>
      <c r="R216" s="54">
        <v>1</v>
      </c>
      <c r="S216" s="54">
        <v>1</v>
      </c>
      <c r="T216" s="54">
        <v>1</v>
      </c>
      <c r="U216" s="54">
        <v>0</v>
      </c>
      <c r="V216" s="54">
        <v>1</v>
      </c>
      <c r="W216" s="54">
        <v>1</v>
      </c>
      <c r="X216" s="54">
        <v>1</v>
      </c>
      <c r="Y216" s="54">
        <v>0</v>
      </c>
      <c r="Z216" s="54">
        <v>0</v>
      </c>
      <c r="AA216" s="54">
        <v>1</v>
      </c>
      <c r="AB216" s="54">
        <v>0</v>
      </c>
      <c r="AC216" s="54">
        <v>1</v>
      </c>
      <c r="AD216" s="54">
        <v>1</v>
      </c>
      <c r="AE216" s="54">
        <v>0</v>
      </c>
      <c r="AF216" s="54">
        <v>1</v>
      </c>
      <c r="AG216" s="54">
        <v>1</v>
      </c>
      <c r="AH216" s="54">
        <v>1</v>
      </c>
      <c r="AI216" s="54">
        <v>1</v>
      </c>
      <c r="AJ216" s="54">
        <v>1</v>
      </c>
      <c r="AK216" s="46">
        <f t="shared" si="45"/>
        <v>17</v>
      </c>
      <c r="AL216" s="46"/>
      <c r="AM216" s="54">
        <v>1</v>
      </c>
      <c r="AN216" s="54">
        <v>1</v>
      </c>
      <c r="AO216" s="54">
        <v>1</v>
      </c>
      <c r="AP216" s="54">
        <v>1</v>
      </c>
      <c r="AQ216" s="54">
        <v>1</v>
      </c>
      <c r="AR216" s="54">
        <v>0</v>
      </c>
      <c r="AS216" s="54">
        <v>0</v>
      </c>
      <c r="AT216" s="54">
        <v>0</v>
      </c>
      <c r="AU216" s="54">
        <v>0</v>
      </c>
      <c r="AV216" s="54">
        <v>0</v>
      </c>
      <c r="AW216" s="54">
        <v>1</v>
      </c>
      <c r="AX216" s="54">
        <v>1</v>
      </c>
      <c r="AY216" s="54">
        <v>1</v>
      </c>
      <c r="AZ216" s="46">
        <f t="shared" si="46"/>
        <v>8</v>
      </c>
      <c r="BA216" s="46"/>
      <c r="BB216" s="54">
        <v>0</v>
      </c>
      <c r="BC216" s="54">
        <v>0</v>
      </c>
      <c r="BD216" s="54">
        <v>0</v>
      </c>
      <c r="BE216" s="54">
        <v>0</v>
      </c>
      <c r="BF216" s="54">
        <v>0</v>
      </c>
      <c r="BG216" s="54">
        <v>0</v>
      </c>
      <c r="BH216" s="54">
        <v>0</v>
      </c>
      <c r="BI216" s="54">
        <v>1</v>
      </c>
      <c r="BJ216" s="46">
        <f t="shared" si="47"/>
        <v>1</v>
      </c>
      <c r="BK216" s="50"/>
      <c r="BL216" s="54">
        <v>0</v>
      </c>
      <c r="BM216" s="54">
        <v>0</v>
      </c>
      <c r="BN216" s="54">
        <v>0</v>
      </c>
      <c r="BO216" s="54">
        <v>0</v>
      </c>
      <c r="BP216" s="54">
        <v>0</v>
      </c>
      <c r="BQ216" s="54">
        <v>0</v>
      </c>
      <c r="BR216" s="54">
        <v>0</v>
      </c>
      <c r="BS216" s="47">
        <f t="shared" si="48"/>
        <v>0</v>
      </c>
      <c r="BT216" s="46"/>
      <c r="BU216" s="44">
        <f t="shared" si="49"/>
        <v>17</v>
      </c>
      <c r="BV216" s="44">
        <f t="shared" si="50"/>
        <v>8</v>
      </c>
      <c r="BW216" s="44">
        <f t="shared" si="51"/>
        <v>25</v>
      </c>
      <c r="BX216" s="44">
        <f t="shared" si="52"/>
        <v>1</v>
      </c>
      <c r="BY216" s="44">
        <f t="shared" si="53"/>
        <v>0</v>
      </c>
      <c r="BZ216" s="56"/>
      <c r="CA216" s="44">
        <f t="shared" si="54"/>
        <v>26</v>
      </c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  <c r="CS216" s="56"/>
      <c r="CT216" s="56"/>
      <c r="CU216" s="56"/>
      <c r="CV216" s="56"/>
    </row>
    <row r="217" spans="1:100" s="49" customFormat="1" ht="15.75" customHeight="1" x14ac:dyDescent="0.25">
      <c r="A217" s="40" t="s">
        <v>531</v>
      </c>
      <c r="B217" s="46" t="s">
        <v>88</v>
      </c>
      <c r="C217" s="61">
        <v>-33505741</v>
      </c>
      <c r="D217" s="50">
        <v>-70624308</v>
      </c>
      <c r="E217" s="54" t="s">
        <v>695</v>
      </c>
      <c r="F217" s="54">
        <v>-33504121</v>
      </c>
      <c r="G217" s="54">
        <v>-70621926</v>
      </c>
      <c r="H217" s="54" t="s">
        <v>696</v>
      </c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46">
        <f t="shared" si="45"/>
        <v>0</v>
      </c>
      <c r="AL217" s="46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46">
        <f t="shared" si="46"/>
        <v>0</v>
      </c>
      <c r="BA217" s="46"/>
      <c r="BB217" s="54"/>
      <c r="BC217" s="54"/>
      <c r="BD217" s="54"/>
      <c r="BE217" s="54"/>
      <c r="BF217" s="54"/>
      <c r="BG217" s="54"/>
      <c r="BH217" s="54"/>
      <c r="BI217" s="54"/>
      <c r="BJ217" s="46">
        <f t="shared" si="47"/>
        <v>0</v>
      </c>
      <c r="BK217" s="50"/>
      <c r="BL217" s="54"/>
      <c r="BM217" s="54"/>
      <c r="BN217" s="54"/>
      <c r="BO217" s="54"/>
      <c r="BP217" s="54"/>
      <c r="BQ217" s="54"/>
      <c r="BR217" s="54"/>
      <c r="BS217" s="47">
        <f t="shared" si="48"/>
        <v>0</v>
      </c>
      <c r="BT217" s="46"/>
      <c r="BU217" s="44">
        <f t="shared" si="49"/>
        <v>0</v>
      </c>
      <c r="BV217" s="44">
        <f t="shared" si="50"/>
        <v>0</v>
      </c>
      <c r="BW217" s="44">
        <f t="shared" si="51"/>
        <v>0</v>
      </c>
      <c r="BX217" s="44">
        <f t="shared" si="52"/>
        <v>0</v>
      </c>
      <c r="BY217" s="44">
        <f t="shared" si="53"/>
        <v>0</v>
      </c>
      <c r="BZ217" s="56"/>
      <c r="CA217" s="44">
        <f t="shared" si="54"/>
        <v>0</v>
      </c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  <c r="CT217" s="56"/>
      <c r="CU217" s="56"/>
      <c r="CV217" s="56"/>
    </row>
    <row r="218" spans="1:100" s="49" customFormat="1" ht="15.75" customHeight="1" x14ac:dyDescent="0.25">
      <c r="A218" s="40" t="s">
        <v>531</v>
      </c>
      <c r="B218" s="46" t="s">
        <v>88</v>
      </c>
      <c r="C218" s="61">
        <v>-33505741</v>
      </c>
      <c r="D218" s="50">
        <v>-70624308</v>
      </c>
      <c r="E218" s="54" t="s">
        <v>697</v>
      </c>
      <c r="F218" s="54">
        <v>-335077873</v>
      </c>
      <c r="G218" s="54">
        <v>-7062089</v>
      </c>
      <c r="H218" s="54" t="s">
        <v>698</v>
      </c>
      <c r="I218" s="54">
        <v>0</v>
      </c>
      <c r="J218" s="54">
        <v>0</v>
      </c>
      <c r="K218" s="54">
        <v>0</v>
      </c>
      <c r="L218" s="54">
        <v>1</v>
      </c>
      <c r="M218" s="54">
        <v>0</v>
      </c>
      <c r="N218" s="54">
        <v>1</v>
      </c>
      <c r="O218" s="54">
        <v>1</v>
      </c>
      <c r="P218" s="54">
        <v>0</v>
      </c>
      <c r="Q218" s="54">
        <v>1</v>
      </c>
      <c r="R218" s="54">
        <v>1</v>
      </c>
      <c r="S218" s="54">
        <v>1</v>
      </c>
      <c r="T218" s="54">
        <v>0</v>
      </c>
      <c r="U218" s="54">
        <v>1</v>
      </c>
      <c r="V218" s="54">
        <v>0</v>
      </c>
      <c r="W218" s="54">
        <v>0</v>
      </c>
      <c r="X218" s="54">
        <v>1</v>
      </c>
      <c r="Y218" s="54">
        <v>0</v>
      </c>
      <c r="Z218" s="54">
        <v>0</v>
      </c>
      <c r="AA218" s="54">
        <v>1</v>
      </c>
      <c r="AB218" s="54">
        <v>0</v>
      </c>
      <c r="AC218" s="54">
        <v>1</v>
      </c>
      <c r="AD218" s="54">
        <v>1</v>
      </c>
      <c r="AE218" s="54">
        <v>0</v>
      </c>
      <c r="AF218" s="54">
        <v>1</v>
      </c>
      <c r="AG218" s="54">
        <v>1</v>
      </c>
      <c r="AH218" s="54">
        <v>1</v>
      </c>
      <c r="AI218" s="54">
        <v>1</v>
      </c>
      <c r="AJ218" s="54">
        <v>1</v>
      </c>
      <c r="AK218" s="46">
        <f t="shared" si="45"/>
        <v>16</v>
      </c>
      <c r="AL218" s="46"/>
      <c r="AM218" s="54">
        <v>1</v>
      </c>
      <c r="AN218" s="54">
        <v>1</v>
      </c>
      <c r="AO218" s="54">
        <v>1</v>
      </c>
      <c r="AP218" s="54">
        <v>1</v>
      </c>
      <c r="AQ218" s="54">
        <v>0</v>
      </c>
      <c r="AR218" s="54">
        <v>0</v>
      </c>
      <c r="AS218" s="54">
        <v>0</v>
      </c>
      <c r="AT218" s="54">
        <v>0</v>
      </c>
      <c r="AU218" s="54">
        <v>0</v>
      </c>
      <c r="AV218" s="54">
        <v>0</v>
      </c>
      <c r="AW218" s="54">
        <v>1</v>
      </c>
      <c r="AX218" s="54">
        <v>1</v>
      </c>
      <c r="AY218" s="54">
        <v>0</v>
      </c>
      <c r="AZ218" s="46">
        <f t="shared" si="46"/>
        <v>6</v>
      </c>
      <c r="BA218" s="46"/>
      <c r="BB218" s="54">
        <v>0</v>
      </c>
      <c r="BC218" s="54">
        <v>0</v>
      </c>
      <c r="BD218" s="54">
        <v>1</v>
      </c>
      <c r="BE218" s="54">
        <v>1</v>
      </c>
      <c r="BF218" s="54">
        <v>1</v>
      </c>
      <c r="BG218" s="54">
        <v>1</v>
      </c>
      <c r="BH218" s="54">
        <v>0</v>
      </c>
      <c r="BI218" s="54">
        <v>1</v>
      </c>
      <c r="BJ218" s="46">
        <f t="shared" si="47"/>
        <v>5</v>
      </c>
      <c r="BK218" s="50"/>
      <c r="BL218" s="54">
        <v>0</v>
      </c>
      <c r="BM218" s="54">
        <v>0</v>
      </c>
      <c r="BN218" s="54">
        <v>0</v>
      </c>
      <c r="BO218" s="54">
        <v>1</v>
      </c>
      <c r="BP218" s="54">
        <v>0</v>
      </c>
      <c r="BQ218" s="54">
        <v>0</v>
      </c>
      <c r="BR218" s="54">
        <v>0</v>
      </c>
      <c r="BS218" s="47">
        <f t="shared" si="48"/>
        <v>1</v>
      </c>
      <c r="BT218" s="46"/>
      <c r="BU218" s="44">
        <f t="shared" si="49"/>
        <v>16</v>
      </c>
      <c r="BV218" s="44">
        <f t="shared" si="50"/>
        <v>6</v>
      </c>
      <c r="BW218" s="44">
        <f t="shared" si="51"/>
        <v>22</v>
      </c>
      <c r="BX218" s="44">
        <f t="shared" si="52"/>
        <v>5</v>
      </c>
      <c r="BY218" s="44">
        <f t="shared" si="53"/>
        <v>1</v>
      </c>
      <c r="BZ218" s="56"/>
      <c r="CA218" s="44">
        <f t="shared" si="54"/>
        <v>28</v>
      </c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/>
      <c r="CS218" s="56"/>
      <c r="CT218" s="56"/>
      <c r="CU218" s="56"/>
      <c r="CV218" s="56"/>
    </row>
    <row r="219" spans="1:100" s="49" customFormat="1" ht="15.75" customHeight="1" x14ac:dyDescent="0.25">
      <c r="A219" s="40" t="s">
        <v>531</v>
      </c>
      <c r="B219" s="46" t="s">
        <v>88</v>
      </c>
      <c r="C219" s="61">
        <v>-33505741</v>
      </c>
      <c r="D219" s="50">
        <v>-70624308</v>
      </c>
      <c r="E219" s="54" t="s">
        <v>699</v>
      </c>
      <c r="F219" s="54">
        <v>-33507929</v>
      </c>
      <c r="G219" s="54">
        <v>-70621408</v>
      </c>
      <c r="H219" s="54" t="s">
        <v>700</v>
      </c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46">
        <f t="shared" si="45"/>
        <v>0</v>
      </c>
      <c r="AL219" s="46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46">
        <f t="shared" si="46"/>
        <v>0</v>
      </c>
      <c r="BA219" s="46"/>
      <c r="BB219" s="54"/>
      <c r="BC219" s="54"/>
      <c r="BD219" s="54"/>
      <c r="BE219" s="54"/>
      <c r="BF219" s="54"/>
      <c r="BG219" s="54"/>
      <c r="BH219" s="54"/>
      <c r="BI219" s="54"/>
      <c r="BJ219" s="46">
        <f t="shared" si="47"/>
        <v>0</v>
      </c>
      <c r="BK219" s="50"/>
      <c r="BL219" s="54"/>
      <c r="BM219" s="54"/>
      <c r="BN219" s="54"/>
      <c r="BO219" s="54"/>
      <c r="BP219" s="54"/>
      <c r="BQ219" s="54"/>
      <c r="BR219" s="54"/>
      <c r="BS219" s="47">
        <f t="shared" si="48"/>
        <v>0</v>
      </c>
      <c r="BT219" s="46"/>
      <c r="BU219" s="44">
        <f t="shared" si="49"/>
        <v>0</v>
      </c>
      <c r="BV219" s="44">
        <f t="shared" si="50"/>
        <v>0</v>
      </c>
      <c r="BW219" s="44">
        <f t="shared" si="51"/>
        <v>0</v>
      </c>
      <c r="BX219" s="44">
        <f t="shared" si="52"/>
        <v>0</v>
      </c>
      <c r="BY219" s="44">
        <f t="shared" si="53"/>
        <v>0</v>
      </c>
      <c r="BZ219" s="56"/>
      <c r="CA219" s="44">
        <f t="shared" si="54"/>
        <v>0</v>
      </c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/>
      <c r="CT219" s="56"/>
      <c r="CU219" s="56"/>
      <c r="CV219" s="56"/>
    </row>
    <row r="220" spans="1:100" s="49" customFormat="1" ht="15.75" customHeight="1" x14ac:dyDescent="0.25">
      <c r="A220" s="40" t="s">
        <v>531</v>
      </c>
      <c r="B220" s="46" t="s">
        <v>88</v>
      </c>
      <c r="C220" s="61">
        <v>-33505741</v>
      </c>
      <c r="D220" s="50">
        <v>-70624308</v>
      </c>
      <c r="E220" s="54" t="s">
        <v>701</v>
      </c>
      <c r="F220" s="54">
        <v>-3350787</v>
      </c>
      <c r="G220" s="54">
        <v>-70622035</v>
      </c>
      <c r="H220" s="54" t="s">
        <v>702</v>
      </c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46">
        <f t="shared" si="45"/>
        <v>0</v>
      </c>
      <c r="AL220" s="46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46">
        <f t="shared" si="46"/>
        <v>0</v>
      </c>
      <c r="BA220" s="46"/>
      <c r="BB220" s="54"/>
      <c r="BC220" s="54"/>
      <c r="BD220" s="54"/>
      <c r="BE220" s="54"/>
      <c r="BF220" s="54"/>
      <c r="BG220" s="54"/>
      <c r="BH220" s="54"/>
      <c r="BI220" s="54"/>
      <c r="BJ220" s="46">
        <f t="shared" si="47"/>
        <v>0</v>
      </c>
      <c r="BK220" s="50"/>
      <c r="BL220" s="54"/>
      <c r="BM220" s="54"/>
      <c r="BN220" s="54"/>
      <c r="BO220" s="54"/>
      <c r="BP220" s="54"/>
      <c r="BQ220" s="54"/>
      <c r="BR220" s="54"/>
      <c r="BS220" s="47">
        <f t="shared" si="48"/>
        <v>0</v>
      </c>
      <c r="BT220" s="46"/>
      <c r="BU220" s="44">
        <f t="shared" si="49"/>
        <v>0</v>
      </c>
      <c r="BV220" s="44">
        <f t="shared" si="50"/>
        <v>0</v>
      </c>
      <c r="BW220" s="44">
        <f t="shared" si="51"/>
        <v>0</v>
      </c>
      <c r="BX220" s="44">
        <f t="shared" si="52"/>
        <v>0</v>
      </c>
      <c r="BY220" s="44">
        <f t="shared" si="53"/>
        <v>0</v>
      </c>
      <c r="BZ220" s="56"/>
      <c r="CA220" s="44">
        <f t="shared" si="54"/>
        <v>0</v>
      </c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6"/>
      <c r="CV220" s="56"/>
    </row>
    <row r="221" spans="1:100" s="49" customFormat="1" ht="15.75" customHeight="1" x14ac:dyDescent="0.25">
      <c r="A221" s="40" t="s">
        <v>531</v>
      </c>
      <c r="B221" s="46" t="s">
        <v>88</v>
      </c>
      <c r="C221" s="61">
        <v>-33505741</v>
      </c>
      <c r="D221" s="50">
        <v>-70624308</v>
      </c>
      <c r="E221" s="54" t="s">
        <v>703</v>
      </c>
      <c r="F221" s="54">
        <v>-3350787</v>
      </c>
      <c r="G221" s="54">
        <v>-70622035</v>
      </c>
      <c r="H221" s="54" t="s">
        <v>704</v>
      </c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46">
        <f t="shared" si="45"/>
        <v>0</v>
      </c>
      <c r="AL221" s="46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46">
        <f t="shared" si="46"/>
        <v>0</v>
      </c>
      <c r="BA221" s="46"/>
      <c r="BB221" s="54"/>
      <c r="BC221" s="54"/>
      <c r="BD221" s="54"/>
      <c r="BE221" s="54"/>
      <c r="BF221" s="54"/>
      <c r="BG221" s="54"/>
      <c r="BH221" s="54"/>
      <c r="BI221" s="54"/>
      <c r="BJ221" s="46">
        <f t="shared" si="47"/>
        <v>0</v>
      </c>
      <c r="BK221" s="50"/>
      <c r="BL221" s="54"/>
      <c r="BM221" s="54"/>
      <c r="BN221" s="54"/>
      <c r="BO221" s="54"/>
      <c r="BP221" s="54"/>
      <c r="BQ221" s="54"/>
      <c r="BR221" s="54"/>
      <c r="BS221" s="47">
        <f t="shared" si="48"/>
        <v>0</v>
      </c>
      <c r="BT221" s="46"/>
      <c r="BU221" s="44">
        <f t="shared" si="49"/>
        <v>0</v>
      </c>
      <c r="BV221" s="44">
        <f t="shared" si="50"/>
        <v>0</v>
      </c>
      <c r="BW221" s="44">
        <f t="shared" si="51"/>
        <v>0</v>
      </c>
      <c r="BX221" s="44">
        <f t="shared" si="52"/>
        <v>0</v>
      </c>
      <c r="BY221" s="44">
        <f t="shared" si="53"/>
        <v>0</v>
      </c>
      <c r="BZ221" s="56"/>
      <c r="CA221" s="44">
        <f t="shared" si="54"/>
        <v>0</v>
      </c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/>
      <c r="CV221" s="56"/>
    </row>
    <row r="222" spans="1:100" s="49" customFormat="1" ht="15.75" customHeight="1" x14ac:dyDescent="0.25">
      <c r="A222" s="40" t="s">
        <v>531</v>
      </c>
      <c r="B222" s="46" t="s">
        <v>88</v>
      </c>
      <c r="C222" s="61">
        <v>-33505741</v>
      </c>
      <c r="D222" s="50">
        <v>-70624308</v>
      </c>
      <c r="E222" s="54" t="s">
        <v>705</v>
      </c>
      <c r="F222" s="54">
        <v>-33507876</v>
      </c>
      <c r="G222" s="54">
        <v>-70622612</v>
      </c>
      <c r="H222" s="54" t="s">
        <v>706</v>
      </c>
      <c r="I222" s="54">
        <v>1</v>
      </c>
      <c r="J222" s="54">
        <v>0</v>
      </c>
      <c r="K222" s="54">
        <v>0</v>
      </c>
      <c r="L222" s="54">
        <v>1</v>
      </c>
      <c r="M222" s="54">
        <v>1</v>
      </c>
      <c r="N222" s="54">
        <v>1</v>
      </c>
      <c r="O222" s="54">
        <v>1</v>
      </c>
      <c r="P222" s="54">
        <v>1</v>
      </c>
      <c r="Q222" s="54">
        <v>1</v>
      </c>
      <c r="R222" s="54">
        <v>1</v>
      </c>
      <c r="S222" s="54">
        <v>1</v>
      </c>
      <c r="T222" s="54">
        <v>1</v>
      </c>
      <c r="U222" s="54">
        <v>1</v>
      </c>
      <c r="V222" s="54">
        <v>0</v>
      </c>
      <c r="W222" s="54">
        <v>1</v>
      </c>
      <c r="X222" s="54">
        <v>1</v>
      </c>
      <c r="Y222" s="54">
        <v>1</v>
      </c>
      <c r="Z222" s="54">
        <v>1</v>
      </c>
      <c r="AA222" s="54">
        <v>1</v>
      </c>
      <c r="AB222" s="54">
        <v>0</v>
      </c>
      <c r="AC222" s="54">
        <v>1</v>
      </c>
      <c r="AD222" s="54">
        <v>1</v>
      </c>
      <c r="AE222" s="54">
        <v>0</v>
      </c>
      <c r="AF222" s="54">
        <v>1</v>
      </c>
      <c r="AG222" s="54">
        <v>1</v>
      </c>
      <c r="AH222" s="54">
        <v>1</v>
      </c>
      <c r="AI222" s="54">
        <v>1</v>
      </c>
      <c r="AJ222" s="54">
        <v>1</v>
      </c>
      <c r="AK222" s="46">
        <f t="shared" si="45"/>
        <v>23</v>
      </c>
      <c r="AL222" s="46"/>
      <c r="AM222" s="54">
        <v>1</v>
      </c>
      <c r="AN222" s="54">
        <v>1</v>
      </c>
      <c r="AO222" s="54">
        <v>1</v>
      </c>
      <c r="AP222" s="54">
        <v>1</v>
      </c>
      <c r="AQ222" s="54">
        <v>1</v>
      </c>
      <c r="AR222" s="54">
        <v>0</v>
      </c>
      <c r="AS222" s="54">
        <v>1</v>
      </c>
      <c r="AT222" s="54">
        <v>0</v>
      </c>
      <c r="AU222" s="54">
        <v>0</v>
      </c>
      <c r="AV222" s="54">
        <v>0</v>
      </c>
      <c r="AW222" s="54">
        <v>1</v>
      </c>
      <c r="AX222" s="54">
        <v>1</v>
      </c>
      <c r="AY222" s="54">
        <v>1</v>
      </c>
      <c r="AZ222" s="46">
        <f t="shared" si="46"/>
        <v>9</v>
      </c>
      <c r="BA222" s="46"/>
      <c r="BB222" s="54">
        <v>1</v>
      </c>
      <c r="BC222" s="54">
        <v>1</v>
      </c>
      <c r="BD222" s="54">
        <v>1</v>
      </c>
      <c r="BE222" s="54">
        <v>0</v>
      </c>
      <c r="BF222" s="54">
        <v>1</v>
      </c>
      <c r="BG222" s="54">
        <v>0</v>
      </c>
      <c r="BH222" s="54">
        <v>0</v>
      </c>
      <c r="BI222" s="54">
        <v>1</v>
      </c>
      <c r="BJ222" s="46">
        <f t="shared" si="47"/>
        <v>5</v>
      </c>
      <c r="BK222" s="50"/>
      <c r="BL222" s="54">
        <v>1</v>
      </c>
      <c r="BM222" s="54">
        <v>0</v>
      </c>
      <c r="BN222" s="54">
        <v>0</v>
      </c>
      <c r="BO222" s="54">
        <v>0</v>
      </c>
      <c r="BP222" s="54">
        <v>1</v>
      </c>
      <c r="BQ222" s="54">
        <v>0</v>
      </c>
      <c r="BR222" s="54">
        <v>0</v>
      </c>
      <c r="BS222" s="47">
        <f t="shared" si="48"/>
        <v>2</v>
      </c>
      <c r="BT222" s="46"/>
      <c r="BU222" s="44">
        <f t="shared" si="49"/>
        <v>23</v>
      </c>
      <c r="BV222" s="44">
        <f t="shared" si="50"/>
        <v>9</v>
      </c>
      <c r="BW222" s="44">
        <f t="shared" si="51"/>
        <v>32</v>
      </c>
      <c r="BX222" s="44">
        <f t="shared" si="52"/>
        <v>5</v>
      </c>
      <c r="BY222" s="44">
        <f t="shared" si="53"/>
        <v>2</v>
      </c>
      <c r="BZ222" s="56"/>
      <c r="CA222" s="44">
        <f t="shared" si="54"/>
        <v>39</v>
      </c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6"/>
      <c r="CV222" s="56"/>
    </row>
    <row r="223" spans="1:100" s="49" customFormat="1" ht="15.75" customHeight="1" x14ac:dyDescent="0.25">
      <c r="A223" s="40" t="s">
        <v>531</v>
      </c>
      <c r="B223" s="46" t="s">
        <v>88</v>
      </c>
      <c r="C223" s="61">
        <v>-33505741</v>
      </c>
      <c r="D223" s="50">
        <v>-70624308</v>
      </c>
      <c r="E223" s="54" t="s">
        <v>707</v>
      </c>
      <c r="F223" s="54">
        <v>-33508267</v>
      </c>
      <c r="G223" s="54">
        <v>-7062396</v>
      </c>
      <c r="H223" s="54" t="s">
        <v>708</v>
      </c>
      <c r="I223" s="54">
        <v>0</v>
      </c>
      <c r="J223" s="54">
        <v>0</v>
      </c>
      <c r="K223" s="54">
        <v>0</v>
      </c>
      <c r="L223" s="54">
        <v>1</v>
      </c>
      <c r="M223" s="54">
        <v>0</v>
      </c>
      <c r="N223" s="54">
        <v>0</v>
      </c>
      <c r="O223" s="54">
        <v>0</v>
      </c>
      <c r="P223" s="54">
        <v>0</v>
      </c>
      <c r="Q223" s="54">
        <v>0</v>
      </c>
      <c r="R223" s="54">
        <v>0</v>
      </c>
      <c r="S223" s="54">
        <v>0</v>
      </c>
      <c r="T223" s="54">
        <v>0</v>
      </c>
      <c r="U223" s="54">
        <v>0</v>
      </c>
      <c r="V223" s="54">
        <v>0</v>
      </c>
      <c r="W223" s="54">
        <v>0</v>
      </c>
      <c r="X223" s="54">
        <v>0</v>
      </c>
      <c r="Y223" s="54">
        <v>0</v>
      </c>
      <c r="Z223" s="54">
        <v>0</v>
      </c>
      <c r="AA223" s="54">
        <v>0</v>
      </c>
      <c r="AB223" s="54">
        <v>0</v>
      </c>
      <c r="AC223" s="54">
        <v>1</v>
      </c>
      <c r="AD223" s="54">
        <v>1</v>
      </c>
      <c r="AE223" s="54">
        <v>0</v>
      </c>
      <c r="AF223" s="54">
        <v>1</v>
      </c>
      <c r="AG223" s="54">
        <v>1</v>
      </c>
      <c r="AH223" s="54">
        <v>0</v>
      </c>
      <c r="AI223" s="54">
        <v>0</v>
      </c>
      <c r="AJ223" s="54">
        <v>0</v>
      </c>
      <c r="AK223" s="46">
        <f t="shared" si="45"/>
        <v>5</v>
      </c>
      <c r="AL223" s="46"/>
      <c r="AM223" s="54">
        <v>1</v>
      </c>
      <c r="AN223" s="54">
        <v>1</v>
      </c>
      <c r="AO223" s="54">
        <v>0</v>
      </c>
      <c r="AP223" s="54">
        <v>1</v>
      </c>
      <c r="AQ223" s="54">
        <v>1</v>
      </c>
      <c r="AR223" s="54">
        <v>0</v>
      </c>
      <c r="AS223" s="54">
        <v>1</v>
      </c>
      <c r="AT223" s="54">
        <v>0</v>
      </c>
      <c r="AU223" s="54">
        <v>0</v>
      </c>
      <c r="AV223" s="54">
        <v>0</v>
      </c>
      <c r="AW223" s="54">
        <v>1</v>
      </c>
      <c r="AX223" s="54">
        <v>1</v>
      </c>
      <c r="AY223" s="54">
        <v>0</v>
      </c>
      <c r="AZ223" s="46">
        <f t="shared" si="46"/>
        <v>7</v>
      </c>
      <c r="BA223" s="46"/>
      <c r="BB223" s="54">
        <v>0</v>
      </c>
      <c r="BC223" s="54">
        <v>0</v>
      </c>
      <c r="BD223" s="54">
        <v>0</v>
      </c>
      <c r="BE223" s="54">
        <v>0</v>
      </c>
      <c r="BF223" s="54">
        <v>0</v>
      </c>
      <c r="BG223" s="54">
        <v>0</v>
      </c>
      <c r="BH223" s="54">
        <v>0</v>
      </c>
      <c r="BI223" s="54">
        <v>0</v>
      </c>
      <c r="BJ223" s="46">
        <f t="shared" si="47"/>
        <v>0</v>
      </c>
      <c r="BK223" s="50"/>
      <c r="BL223" s="56">
        <v>0</v>
      </c>
      <c r="BM223" s="56">
        <v>0</v>
      </c>
      <c r="BN223" s="56">
        <v>0</v>
      </c>
      <c r="BO223" s="56">
        <v>0</v>
      </c>
      <c r="BP223" s="56">
        <v>0</v>
      </c>
      <c r="BQ223" s="56">
        <v>0</v>
      </c>
      <c r="BR223" s="54">
        <v>0</v>
      </c>
      <c r="BS223" s="47">
        <f t="shared" si="48"/>
        <v>0</v>
      </c>
      <c r="BT223" s="47"/>
      <c r="BU223" s="44">
        <f t="shared" si="49"/>
        <v>5</v>
      </c>
      <c r="BV223" s="44">
        <f t="shared" si="50"/>
        <v>7</v>
      </c>
      <c r="BW223" s="44">
        <f t="shared" si="51"/>
        <v>12</v>
      </c>
      <c r="BX223" s="44">
        <f t="shared" si="52"/>
        <v>0</v>
      </c>
      <c r="BY223" s="44">
        <f t="shared" si="53"/>
        <v>0</v>
      </c>
      <c r="BZ223" s="56"/>
      <c r="CA223" s="44">
        <f t="shared" si="54"/>
        <v>12</v>
      </c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6"/>
      <c r="CV223" s="56"/>
    </row>
    <row r="224" spans="1:100" s="49" customFormat="1" ht="15.75" customHeight="1" x14ac:dyDescent="0.25">
      <c r="A224" s="40" t="s">
        <v>531</v>
      </c>
      <c r="B224" s="46" t="s">
        <v>88</v>
      </c>
      <c r="C224" s="61">
        <v>-33505741</v>
      </c>
      <c r="D224" s="50">
        <v>-70624308</v>
      </c>
      <c r="E224" s="54" t="s">
        <v>709</v>
      </c>
      <c r="F224" s="54">
        <v>-33508703</v>
      </c>
      <c r="G224" s="54">
        <v>-70625325</v>
      </c>
      <c r="H224" s="54" t="s">
        <v>710</v>
      </c>
      <c r="I224" s="54">
        <v>0</v>
      </c>
      <c r="J224" s="54">
        <v>0</v>
      </c>
      <c r="K224" s="54">
        <v>0</v>
      </c>
      <c r="L224" s="54">
        <v>0</v>
      </c>
      <c r="M224" s="54">
        <v>0</v>
      </c>
      <c r="N224" s="54">
        <v>0</v>
      </c>
      <c r="O224" s="54">
        <v>0</v>
      </c>
      <c r="P224" s="54">
        <v>0</v>
      </c>
      <c r="Q224" s="54">
        <v>0</v>
      </c>
      <c r="R224" s="54">
        <v>0</v>
      </c>
      <c r="S224" s="54">
        <v>0</v>
      </c>
      <c r="T224" s="54">
        <v>0</v>
      </c>
      <c r="U224" s="54">
        <v>0</v>
      </c>
      <c r="V224" s="54">
        <v>0</v>
      </c>
      <c r="W224" s="54">
        <v>0</v>
      </c>
      <c r="X224" s="54">
        <v>0</v>
      </c>
      <c r="Y224" s="54">
        <v>0</v>
      </c>
      <c r="Z224" s="54">
        <v>0</v>
      </c>
      <c r="AA224" s="54">
        <v>0</v>
      </c>
      <c r="AB224" s="54">
        <v>0</v>
      </c>
      <c r="AC224" s="54">
        <v>1</v>
      </c>
      <c r="AD224" s="54">
        <v>1</v>
      </c>
      <c r="AE224" s="54">
        <v>0</v>
      </c>
      <c r="AF224" s="54">
        <v>1</v>
      </c>
      <c r="AG224" s="54">
        <v>1</v>
      </c>
      <c r="AH224" s="54">
        <v>0</v>
      </c>
      <c r="AI224" s="54">
        <v>0</v>
      </c>
      <c r="AJ224" s="54">
        <v>0</v>
      </c>
      <c r="AK224" s="46">
        <f t="shared" si="45"/>
        <v>4</v>
      </c>
      <c r="AL224" s="46"/>
      <c r="AM224" s="54">
        <v>1</v>
      </c>
      <c r="AN224" s="54">
        <v>0</v>
      </c>
      <c r="AO224" s="54">
        <v>0</v>
      </c>
      <c r="AP224" s="54">
        <v>0</v>
      </c>
      <c r="AQ224" s="54">
        <v>0</v>
      </c>
      <c r="AR224" s="54">
        <v>0</v>
      </c>
      <c r="AS224" s="54">
        <v>0</v>
      </c>
      <c r="AT224" s="54">
        <v>0</v>
      </c>
      <c r="AU224" s="54">
        <v>0</v>
      </c>
      <c r="AV224" s="54">
        <v>0</v>
      </c>
      <c r="AW224" s="54">
        <v>1</v>
      </c>
      <c r="AX224" s="54">
        <v>1</v>
      </c>
      <c r="AY224" s="54">
        <v>0</v>
      </c>
      <c r="AZ224" s="46">
        <f t="shared" si="46"/>
        <v>3</v>
      </c>
      <c r="BA224" s="46"/>
      <c r="BB224" s="54">
        <v>0</v>
      </c>
      <c r="BC224" s="54">
        <v>0</v>
      </c>
      <c r="BD224" s="54">
        <v>0</v>
      </c>
      <c r="BE224" s="54">
        <v>0</v>
      </c>
      <c r="BF224" s="54">
        <v>0</v>
      </c>
      <c r="BG224" s="54">
        <v>0</v>
      </c>
      <c r="BH224" s="54">
        <v>0</v>
      </c>
      <c r="BI224" s="54">
        <v>0</v>
      </c>
      <c r="BJ224" s="46">
        <f t="shared" si="47"/>
        <v>0</v>
      </c>
      <c r="BK224" s="50"/>
      <c r="BL224" s="56">
        <v>0</v>
      </c>
      <c r="BM224" s="56">
        <v>0</v>
      </c>
      <c r="BN224" s="56">
        <v>0</v>
      </c>
      <c r="BO224" s="56">
        <v>0</v>
      </c>
      <c r="BP224" s="56">
        <v>0</v>
      </c>
      <c r="BQ224" s="56">
        <v>0</v>
      </c>
      <c r="BR224" s="54">
        <v>0</v>
      </c>
      <c r="BS224" s="47">
        <f t="shared" si="48"/>
        <v>0</v>
      </c>
      <c r="BT224" s="47"/>
      <c r="BU224" s="44">
        <f t="shared" si="49"/>
        <v>4</v>
      </c>
      <c r="BV224" s="44">
        <f t="shared" si="50"/>
        <v>3</v>
      </c>
      <c r="BW224" s="44">
        <f t="shared" si="51"/>
        <v>7</v>
      </c>
      <c r="BX224" s="44">
        <f t="shared" si="52"/>
        <v>0</v>
      </c>
      <c r="BY224" s="44">
        <f t="shared" si="53"/>
        <v>0</v>
      </c>
      <c r="BZ224" s="56"/>
      <c r="CA224" s="44">
        <f t="shared" si="54"/>
        <v>7</v>
      </c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</row>
    <row r="225" spans="1:100" s="49" customFormat="1" ht="15.75" customHeight="1" x14ac:dyDescent="0.25">
      <c r="A225" s="40" t="s">
        <v>531</v>
      </c>
      <c r="B225" s="46" t="s">
        <v>88</v>
      </c>
      <c r="C225" s="61">
        <v>-33505741</v>
      </c>
      <c r="D225" s="50">
        <v>-70624308</v>
      </c>
      <c r="E225" s="54" t="s">
        <v>711</v>
      </c>
      <c r="F225" s="54">
        <v>-33507435</v>
      </c>
      <c r="G225" s="54">
        <v>-70624871</v>
      </c>
      <c r="H225" s="54" t="s">
        <v>712</v>
      </c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46">
        <f t="shared" si="45"/>
        <v>0</v>
      </c>
      <c r="AL225" s="46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46">
        <f t="shared" si="46"/>
        <v>0</v>
      </c>
      <c r="BA225" s="46"/>
      <c r="BB225" s="54"/>
      <c r="BC225" s="54"/>
      <c r="BD225" s="54"/>
      <c r="BE225" s="54"/>
      <c r="BF225" s="54"/>
      <c r="BG225" s="54"/>
      <c r="BH225" s="54"/>
      <c r="BI225" s="54"/>
      <c r="BJ225" s="46">
        <f t="shared" si="47"/>
        <v>0</v>
      </c>
      <c r="BK225" s="50"/>
      <c r="BL225" s="56">
        <v>0</v>
      </c>
      <c r="BM225" s="56">
        <v>0</v>
      </c>
      <c r="BN225" s="56">
        <v>0</v>
      </c>
      <c r="BO225" s="56">
        <v>0</v>
      </c>
      <c r="BP225" s="56">
        <v>0</v>
      </c>
      <c r="BQ225" s="56">
        <v>0</v>
      </c>
      <c r="BR225" s="54">
        <v>0</v>
      </c>
      <c r="BS225" s="47">
        <f t="shared" si="48"/>
        <v>0</v>
      </c>
      <c r="BT225" s="47"/>
      <c r="BU225" s="44">
        <f t="shared" si="49"/>
        <v>0</v>
      </c>
      <c r="BV225" s="44">
        <f t="shared" si="50"/>
        <v>0</v>
      </c>
      <c r="BW225" s="44">
        <f t="shared" si="51"/>
        <v>0</v>
      </c>
      <c r="BX225" s="44">
        <f t="shared" si="52"/>
        <v>0</v>
      </c>
      <c r="BY225" s="44">
        <f t="shared" si="53"/>
        <v>0</v>
      </c>
      <c r="BZ225" s="56"/>
      <c r="CA225" s="44">
        <f t="shared" si="54"/>
        <v>0</v>
      </c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</row>
    <row r="226" spans="1:100" s="49" customFormat="1" ht="15.75" customHeight="1" x14ac:dyDescent="0.25">
      <c r="A226" s="40" t="s">
        <v>531</v>
      </c>
      <c r="B226" s="46" t="s">
        <v>88</v>
      </c>
      <c r="C226" s="61">
        <v>-33505741</v>
      </c>
      <c r="D226" s="50">
        <v>-70624308</v>
      </c>
      <c r="E226" s="54" t="s">
        <v>713</v>
      </c>
      <c r="F226" s="54">
        <v>-33506884</v>
      </c>
      <c r="G226" s="54">
        <v>-7062545</v>
      </c>
      <c r="H226" s="54" t="s">
        <v>714</v>
      </c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46">
        <f t="shared" si="45"/>
        <v>0</v>
      </c>
      <c r="AL226" s="46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46">
        <f t="shared" si="46"/>
        <v>0</v>
      </c>
      <c r="BA226" s="46"/>
      <c r="BB226" s="54"/>
      <c r="BC226" s="54"/>
      <c r="BD226" s="54"/>
      <c r="BE226" s="54"/>
      <c r="BF226" s="54"/>
      <c r="BG226" s="54"/>
      <c r="BH226" s="54"/>
      <c r="BI226" s="54"/>
      <c r="BJ226" s="46">
        <f t="shared" si="47"/>
        <v>0</v>
      </c>
      <c r="BK226" s="50"/>
      <c r="BL226" s="56"/>
      <c r="BM226" s="56"/>
      <c r="BN226" s="56"/>
      <c r="BO226" s="56"/>
      <c r="BP226" s="56"/>
      <c r="BQ226" s="56"/>
      <c r="BR226" s="54"/>
      <c r="BS226" s="47">
        <f t="shared" si="48"/>
        <v>0</v>
      </c>
      <c r="BT226" s="47"/>
      <c r="BU226" s="44">
        <f t="shared" si="49"/>
        <v>0</v>
      </c>
      <c r="BV226" s="44">
        <f t="shared" si="50"/>
        <v>0</v>
      </c>
      <c r="BW226" s="44">
        <f t="shared" si="51"/>
        <v>0</v>
      </c>
      <c r="BX226" s="44">
        <f t="shared" si="52"/>
        <v>0</v>
      </c>
      <c r="BY226" s="44">
        <f t="shared" si="53"/>
        <v>0</v>
      </c>
      <c r="BZ226" s="56"/>
      <c r="CA226" s="44">
        <f t="shared" si="54"/>
        <v>0</v>
      </c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6"/>
      <c r="CV226" s="56"/>
    </row>
    <row r="227" spans="1:100" s="49" customFormat="1" ht="15.75" customHeight="1" x14ac:dyDescent="0.25">
      <c r="A227" s="40" t="s">
        <v>531</v>
      </c>
      <c r="B227" s="46" t="s">
        <v>88</v>
      </c>
      <c r="C227" s="61">
        <v>-33505741</v>
      </c>
      <c r="D227" s="50">
        <v>-70624308</v>
      </c>
      <c r="E227" s="54" t="s">
        <v>715</v>
      </c>
      <c r="F227" s="54">
        <v>-33504672</v>
      </c>
      <c r="G227" s="54">
        <v>-70626074</v>
      </c>
      <c r="H227" s="54" t="s">
        <v>94</v>
      </c>
      <c r="I227" s="54">
        <v>0</v>
      </c>
      <c r="J227" s="54">
        <v>0</v>
      </c>
      <c r="K227" s="54">
        <v>0</v>
      </c>
      <c r="L227" s="54">
        <v>1</v>
      </c>
      <c r="M227" s="54">
        <v>0</v>
      </c>
      <c r="N227" s="54">
        <v>0</v>
      </c>
      <c r="O227" s="54">
        <v>0</v>
      </c>
      <c r="P227" s="54">
        <v>0</v>
      </c>
      <c r="Q227" s="54">
        <v>0</v>
      </c>
      <c r="R227" s="54">
        <v>0</v>
      </c>
      <c r="S227" s="54">
        <v>0</v>
      </c>
      <c r="T227" s="54">
        <v>0</v>
      </c>
      <c r="U227" s="54">
        <v>0</v>
      </c>
      <c r="V227" s="54">
        <v>0</v>
      </c>
      <c r="W227" s="54">
        <v>0</v>
      </c>
      <c r="X227" s="54">
        <v>0</v>
      </c>
      <c r="Y227" s="54">
        <v>0</v>
      </c>
      <c r="Z227" s="54">
        <v>0</v>
      </c>
      <c r="AA227" s="54">
        <v>0</v>
      </c>
      <c r="AB227" s="54">
        <v>0</v>
      </c>
      <c r="AC227" s="54">
        <v>0</v>
      </c>
      <c r="AD227" s="54">
        <v>0</v>
      </c>
      <c r="AE227" s="54">
        <v>0</v>
      </c>
      <c r="AF227" s="54">
        <v>0</v>
      </c>
      <c r="AG227" s="54">
        <v>0</v>
      </c>
      <c r="AH227" s="54">
        <v>0</v>
      </c>
      <c r="AI227" s="54">
        <v>0</v>
      </c>
      <c r="AJ227" s="54">
        <v>0</v>
      </c>
      <c r="AK227" s="46">
        <f t="shared" si="45"/>
        <v>1</v>
      </c>
      <c r="AL227" s="46"/>
      <c r="AM227" s="54">
        <v>0</v>
      </c>
      <c r="AN227" s="54">
        <v>0</v>
      </c>
      <c r="AO227" s="54">
        <v>0</v>
      </c>
      <c r="AP227" s="54">
        <v>0</v>
      </c>
      <c r="AQ227" s="54">
        <v>0</v>
      </c>
      <c r="AR227" s="54">
        <v>0</v>
      </c>
      <c r="AS227" s="54">
        <v>0</v>
      </c>
      <c r="AT227" s="54">
        <v>0</v>
      </c>
      <c r="AU227" s="54">
        <v>0</v>
      </c>
      <c r="AV227" s="54">
        <v>0</v>
      </c>
      <c r="AW227" s="54">
        <v>0</v>
      </c>
      <c r="AX227" s="54">
        <v>0</v>
      </c>
      <c r="AY227" s="54">
        <v>0</v>
      </c>
      <c r="AZ227" s="46">
        <f t="shared" si="46"/>
        <v>0</v>
      </c>
      <c r="BA227" s="46"/>
      <c r="BB227" s="54">
        <v>0</v>
      </c>
      <c r="BC227" s="54">
        <v>0</v>
      </c>
      <c r="BD227" s="54">
        <v>0</v>
      </c>
      <c r="BE227" s="54">
        <v>0</v>
      </c>
      <c r="BF227" s="54">
        <v>0</v>
      </c>
      <c r="BG227" s="54">
        <v>0</v>
      </c>
      <c r="BH227" s="54">
        <v>0</v>
      </c>
      <c r="BI227" s="54">
        <v>0</v>
      </c>
      <c r="BJ227" s="46">
        <f t="shared" si="47"/>
        <v>0</v>
      </c>
      <c r="BK227" s="50"/>
      <c r="BL227" s="56">
        <v>0</v>
      </c>
      <c r="BM227" s="56">
        <v>0</v>
      </c>
      <c r="BN227" s="56">
        <v>0</v>
      </c>
      <c r="BO227" s="56">
        <v>0</v>
      </c>
      <c r="BP227" s="56">
        <v>0</v>
      </c>
      <c r="BQ227" s="56">
        <v>0</v>
      </c>
      <c r="BR227" s="54">
        <v>0</v>
      </c>
      <c r="BS227" s="47">
        <f t="shared" si="48"/>
        <v>0</v>
      </c>
      <c r="BT227" s="47"/>
      <c r="BU227" s="44">
        <f t="shared" si="49"/>
        <v>1</v>
      </c>
      <c r="BV227" s="44">
        <f t="shared" si="50"/>
        <v>0</v>
      </c>
      <c r="BW227" s="44">
        <f t="shared" si="51"/>
        <v>1</v>
      </c>
      <c r="BX227" s="44">
        <f t="shared" si="52"/>
        <v>0</v>
      </c>
      <c r="BY227" s="44">
        <f t="shared" si="53"/>
        <v>0</v>
      </c>
      <c r="BZ227" s="56"/>
      <c r="CA227" s="44">
        <f t="shared" si="54"/>
        <v>1</v>
      </c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  <c r="CS227" s="56"/>
      <c r="CT227" s="56"/>
      <c r="CU227" s="56"/>
      <c r="CV227" s="56"/>
    </row>
    <row r="228" spans="1:100" s="49" customFormat="1" ht="15.75" customHeight="1" x14ac:dyDescent="0.25">
      <c r="A228" s="40" t="s">
        <v>531</v>
      </c>
      <c r="B228" s="46" t="s">
        <v>88</v>
      </c>
      <c r="C228" s="61">
        <v>-33505741</v>
      </c>
      <c r="D228" s="50">
        <v>-70624308</v>
      </c>
      <c r="E228" s="54" t="s">
        <v>716</v>
      </c>
      <c r="F228" s="54">
        <v>-33504617</v>
      </c>
      <c r="G228" s="54">
        <v>-70626366</v>
      </c>
      <c r="H228" s="54" t="s">
        <v>717</v>
      </c>
      <c r="I228" s="54">
        <v>0</v>
      </c>
      <c r="J228" s="54">
        <v>0</v>
      </c>
      <c r="K228" s="54">
        <v>0</v>
      </c>
      <c r="L228" s="54">
        <v>1</v>
      </c>
      <c r="M228" s="54">
        <v>1</v>
      </c>
      <c r="N228" s="54">
        <v>1</v>
      </c>
      <c r="O228" s="54">
        <v>1</v>
      </c>
      <c r="P228" s="54">
        <v>0</v>
      </c>
      <c r="Q228" s="54">
        <v>1</v>
      </c>
      <c r="R228" s="54">
        <v>1</v>
      </c>
      <c r="S228" s="54">
        <v>1</v>
      </c>
      <c r="T228" s="54">
        <v>1</v>
      </c>
      <c r="U228" s="54">
        <v>1</v>
      </c>
      <c r="V228" s="54">
        <v>0</v>
      </c>
      <c r="W228" s="54">
        <v>1</v>
      </c>
      <c r="X228" s="54">
        <v>1</v>
      </c>
      <c r="Y228" s="54">
        <v>0</v>
      </c>
      <c r="Z228" s="54">
        <v>0</v>
      </c>
      <c r="AA228" s="54">
        <v>0</v>
      </c>
      <c r="AB228" s="54">
        <v>0</v>
      </c>
      <c r="AC228" s="54">
        <v>1</v>
      </c>
      <c r="AD228" s="54">
        <v>1</v>
      </c>
      <c r="AE228" s="54">
        <v>0</v>
      </c>
      <c r="AF228" s="54">
        <v>1</v>
      </c>
      <c r="AG228" s="54">
        <v>1</v>
      </c>
      <c r="AH228" s="54">
        <v>1</v>
      </c>
      <c r="AI228" s="54">
        <v>0</v>
      </c>
      <c r="AJ228" s="54">
        <v>0</v>
      </c>
      <c r="AK228" s="46">
        <f t="shared" si="45"/>
        <v>16</v>
      </c>
      <c r="AL228" s="46"/>
      <c r="AM228" s="54">
        <v>1</v>
      </c>
      <c r="AN228" s="54">
        <v>1</v>
      </c>
      <c r="AO228" s="54">
        <v>1</v>
      </c>
      <c r="AP228" s="54">
        <v>1</v>
      </c>
      <c r="AQ228" s="54">
        <v>1</v>
      </c>
      <c r="AR228" s="54">
        <v>0</v>
      </c>
      <c r="AS228" s="54">
        <v>0</v>
      </c>
      <c r="AT228" s="54">
        <v>0</v>
      </c>
      <c r="AU228" s="54">
        <v>0</v>
      </c>
      <c r="AV228" s="54">
        <v>0</v>
      </c>
      <c r="AW228" s="54">
        <v>1</v>
      </c>
      <c r="AX228" s="54">
        <v>0</v>
      </c>
      <c r="AY228" s="54">
        <v>0</v>
      </c>
      <c r="AZ228" s="46">
        <f t="shared" si="46"/>
        <v>6</v>
      </c>
      <c r="BA228" s="46"/>
      <c r="BB228" s="54">
        <v>0</v>
      </c>
      <c r="BC228" s="54">
        <v>0</v>
      </c>
      <c r="BD228" s="54">
        <v>0</v>
      </c>
      <c r="BE228" s="54">
        <v>0</v>
      </c>
      <c r="BF228" s="54">
        <v>0</v>
      </c>
      <c r="BG228" s="54">
        <v>1</v>
      </c>
      <c r="BH228" s="54">
        <v>0</v>
      </c>
      <c r="BI228" s="54">
        <v>0</v>
      </c>
      <c r="BJ228" s="46">
        <f t="shared" si="47"/>
        <v>1</v>
      </c>
      <c r="BK228" s="50"/>
      <c r="BL228" s="56">
        <v>0</v>
      </c>
      <c r="BM228" s="56">
        <v>0</v>
      </c>
      <c r="BN228" s="56">
        <v>0</v>
      </c>
      <c r="BO228" s="56">
        <v>0</v>
      </c>
      <c r="BP228" s="56">
        <v>0</v>
      </c>
      <c r="BQ228" s="56">
        <v>0</v>
      </c>
      <c r="BR228" s="54">
        <v>0</v>
      </c>
      <c r="BS228" s="47">
        <f t="shared" si="48"/>
        <v>0</v>
      </c>
      <c r="BT228" s="47"/>
      <c r="BU228" s="44">
        <f t="shared" si="49"/>
        <v>16</v>
      </c>
      <c r="BV228" s="44">
        <f t="shared" si="50"/>
        <v>6</v>
      </c>
      <c r="BW228" s="44">
        <f t="shared" si="51"/>
        <v>22</v>
      </c>
      <c r="BX228" s="44">
        <f t="shared" si="52"/>
        <v>1</v>
      </c>
      <c r="BY228" s="44">
        <f t="shared" si="53"/>
        <v>0</v>
      </c>
      <c r="BZ228" s="56"/>
      <c r="CA228" s="44">
        <f t="shared" si="54"/>
        <v>23</v>
      </c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  <c r="CS228" s="56"/>
      <c r="CT228" s="56"/>
      <c r="CU228" s="56"/>
      <c r="CV228" s="56"/>
    </row>
    <row r="229" spans="1:100" s="49" customFormat="1" ht="15.75" customHeight="1" x14ac:dyDescent="0.25">
      <c r="A229" s="40" t="s">
        <v>531</v>
      </c>
      <c r="B229" s="46" t="s">
        <v>88</v>
      </c>
      <c r="C229" s="61">
        <v>-33505741</v>
      </c>
      <c r="D229" s="50">
        <v>-70624308</v>
      </c>
      <c r="E229" s="54" t="s">
        <v>718</v>
      </c>
      <c r="F229" s="54">
        <v>-33504522</v>
      </c>
      <c r="G229" s="54">
        <v>-70626483</v>
      </c>
      <c r="H229" s="54" t="s">
        <v>719</v>
      </c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46">
        <f t="shared" si="45"/>
        <v>0</v>
      </c>
      <c r="AL229" s="46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46">
        <f t="shared" si="46"/>
        <v>0</v>
      </c>
      <c r="BA229" s="46"/>
      <c r="BB229" s="54"/>
      <c r="BC229" s="54"/>
      <c r="BD229" s="54"/>
      <c r="BE229" s="54"/>
      <c r="BF229" s="54"/>
      <c r="BG229" s="54"/>
      <c r="BH229" s="54"/>
      <c r="BI229" s="54"/>
      <c r="BJ229" s="46">
        <f t="shared" si="47"/>
        <v>0</v>
      </c>
      <c r="BK229" s="50"/>
      <c r="BL229" s="56"/>
      <c r="BM229" s="56"/>
      <c r="BN229" s="56"/>
      <c r="BO229" s="56"/>
      <c r="BP229" s="56"/>
      <c r="BQ229" s="56"/>
      <c r="BR229" s="54"/>
      <c r="BS229" s="47">
        <f t="shared" si="48"/>
        <v>0</v>
      </c>
      <c r="BT229" s="47"/>
      <c r="BU229" s="44">
        <f t="shared" si="49"/>
        <v>0</v>
      </c>
      <c r="BV229" s="44">
        <f t="shared" si="50"/>
        <v>0</v>
      </c>
      <c r="BW229" s="44">
        <f t="shared" si="51"/>
        <v>0</v>
      </c>
      <c r="BX229" s="44">
        <f t="shared" si="52"/>
        <v>0</v>
      </c>
      <c r="BY229" s="44">
        <f t="shared" si="53"/>
        <v>0</v>
      </c>
      <c r="BZ229" s="56"/>
      <c r="CA229" s="44">
        <f t="shared" si="54"/>
        <v>0</v>
      </c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</row>
    <row r="230" spans="1:100" s="49" customFormat="1" ht="15.75" customHeight="1" x14ac:dyDescent="0.25">
      <c r="A230" s="40" t="s">
        <v>531</v>
      </c>
      <c r="B230" s="46" t="s">
        <v>88</v>
      </c>
      <c r="C230" s="61">
        <v>-33505741</v>
      </c>
      <c r="D230" s="50">
        <v>-70624308</v>
      </c>
      <c r="E230" s="54" t="s">
        <v>720</v>
      </c>
      <c r="F230" s="54">
        <v>-33504522</v>
      </c>
      <c r="G230" s="54">
        <v>-70626483</v>
      </c>
      <c r="H230" s="54" t="s">
        <v>721</v>
      </c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46">
        <f t="shared" si="45"/>
        <v>0</v>
      </c>
      <c r="AL230" s="46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46">
        <f t="shared" si="46"/>
        <v>0</v>
      </c>
      <c r="BA230" s="46"/>
      <c r="BB230" s="54"/>
      <c r="BC230" s="54"/>
      <c r="BD230" s="54"/>
      <c r="BE230" s="54"/>
      <c r="BF230" s="54"/>
      <c r="BG230" s="54"/>
      <c r="BH230" s="54"/>
      <c r="BI230" s="54"/>
      <c r="BJ230" s="46">
        <f t="shared" si="47"/>
        <v>0</v>
      </c>
      <c r="BK230" s="50"/>
      <c r="BL230" s="56"/>
      <c r="BM230" s="56"/>
      <c r="BN230" s="56"/>
      <c r="BO230" s="56"/>
      <c r="BP230" s="56"/>
      <c r="BQ230" s="56"/>
      <c r="BR230" s="54"/>
      <c r="BS230" s="47">
        <f t="shared" si="48"/>
        <v>0</v>
      </c>
      <c r="BT230" s="47"/>
      <c r="BU230" s="44">
        <f t="shared" si="49"/>
        <v>0</v>
      </c>
      <c r="BV230" s="44">
        <f t="shared" si="50"/>
        <v>0</v>
      </c>
      <c r="BW230" s="44">
        <f t="shared" si="51"/>
        <v>0</v>
      </c>
      <c r="BX230" s="44">
        <f t="shared" si="52"/>
        <v>0</v>
      </c>
      <c r="BY230" s="44">
        <f t="shared" si="53"/>
        <v>0</v>
      </c>
      <c r="BZ230" s="56"/>
      <c r="CA230" s="44">
        <f t="shared" si="54"/>
        <v>0</v>
      </c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6"/>
      <c r="CV230" s="56"/>
    </row>
    <row r="231" spans="1:100" s="49" customFormat="1" ht="15.75" customHeight="1" x14ac:dyDescent="0.25">
      <c r="A231" s="40" t="s">
        <v>531</v>
      </c>
      <c r="B231" s="46" t="s">
        <v>88</v>
      </c>
      <c r="C231" s="61">
        <v>-33505741</v>
      </c>
      <c r="D231" s="50">
        <v>-70624308</v>
      </c>
      <c r="E231" s="54" t="s">
        <v>722</v>
      </c>
      <c r="F231" s="54">
        <v>-33504388</v>
      </c>
      <c r="G231" s="54">
        <v>-70626511</v>
      </c>
      <c r="H231" s="54" t="s">
        <v>723</v>
      </c>
      <c r="I231" s="54">
        <v>0</v>
      </c>
      <c r="J231" s="54">
        <v>0</v>
      </c>
      <c r="K231" s="54">
        <v>0</v>
      </c>
      <c r="L231" s="54">
        <v>0</v>
      </c>
      <c r="M231" s="54">
        <v>0</v>
      </c>
      <c r="N231" s="54">
        <v>1</v>
      </c>
      <c r="O231" s="54">
        <v>0</v>
      </c>
      <c r="P231" s="54">
        <v>0</v>
      </c>
      <c r="Q231" s="54">
        <v>0</v>
      </c>
      <c r="R231" s="54">
        <v>0</v>
      </c>
      <c r="S231" s="54">
        <v>0</v>
      </c>
      <c r="T231" s="54">
        <v>0</v>
      </c>
      <c r="U231" s="54">
        <v>0</v>
      </c>
      <c r="V231" s="54">
        <v>0</v>
      </c>
      <c r="W231" s="54">
        <v>1</v>
      </c>
      <c r="X231" s="54">
        <v>0</v>
      </c>
      <c r="Y231" s="54">
        <v>0</v>
      </c>
      <c r="Z231" s="54">
        <v>0</v>
      </c>
      <c r="AA231" s="54">
        <v>0</v>
      </c>
      <c r="AB231" s="54">
        <v>0</v>
      </c>
      <c r="AC231" s="54">
        <v>1</v>
      </c>
      <c r="AD231" s="54">
        <v>0</v>
      </c>
      <c r="AE231" s="54">
        <v>0</v>
      </c>
      <c r="AF231" s="54">
        <v>1</v>
      </c>
      <c r="AG231" s="54">
        <v>0</v>
      </c>
      <c r="AH231" s="54">
        <v>0</v>
      </c>
      <c r="AI231" s="54">
        <v>0</v>
      </c>
      <c r="AJ231" s="54">
        <v>0</v>
      </c>
      <c r="AK231" s="46">
        <f t="shared" si="45"/>
        <v>4</v>
      </c>
      <c r="AL231" s="46"/>
      <c r="AM231" s="54">
        <v>1</v>
      </c>
      <c r="AN231" s="54">
        <v>1</v>
      </c>
      <c r="AO231" s="54">
        <v>0</v>
      </c>
      <c r="AP231" s="54">
        <v>1</v>
      </c>
      <c r="AQ231" s="54">
        <v>0</v>
      </c>
      <c r="AR231" s="54">
        <v>0</v>
      </c>
      <c r="AS231" s="54">
        <v>0</v>
      </c>
      <c r="AT231" s="54">
        <v>0</v>
      </c>
      <c r="AU231" s="54">
        <v>0</v>
      </c>
      <c r="AV231" s="54">
        <v>0</v>
      </c>
      <c r="AW231" s="54">
        <v>1</v>
      </c>
      <c r="AX231" s="54">
        <v>0</v>
      </c>
      <c r="AY231" s="54">
        <v>1</v>
      </c>
      <c r="AZ231" s="46">
        <f t="shared" si="46"/>
        <v>5</v>
      </c>
      <c r="BA231" s="46"/>
      <c r="BB231" s="54">
        <v>0</v>
      </c>
      <c r="BC231" s="54">
        <v>0</v>
      </c>
      <c r="BD231" s="54">
        <v>0</v>
      </c>
      <c r="BE231" s="54">
        <v>0</v>
      </c>
      <c r="BF231" s="54">
        <v>0</v>
      </c>
      <c r="BG231" s="54">
        <v>0</v>
      </c>
      <c r="BH231" s="54">
        <v>0</v>
      </c>
      <c r="BI231" s="54">
        <v>0</v>
      </c>
      <c r="BJ231" s="46">
        <f t="shared" si="47"/>
        <v>0</v>
      </c>
      <c r="BK231" s="50"/>
      <c r="BL231" s="56">
        <v>0</v>
      </c>
      <c r="BM231" s="56">
        <v>0</v>
      </c>
      <c r="BN231" s="56">
        <v>0</v>
      </c>
      <c r="BO231" s="56">
        <v>0</v>
      </c>
      <c r="BP231" s="56">
        <v>0</v>
      </c>
      <c r="BQ231" s="56">
        <v>0</v>
      </c>
      <c r="BR231" s="54">
        <v>0</v>
      </c>
      <c r="BS231" s="47">
        <f t="shared" si="48"/>
        <v>0</v>
      </c>
      <c r="BT231" s="47"/>
      <c r="BU231" s="44">
        <f t="shared" si="49"/>
        <v>4</v>
      </c>
      <c r="BV231" s="44">
        <f t="shared" si="50"/>
        <v>5</v>
      </c>
      <c r="BW231" s="44">
        <f t="shared" si="51"/>
        <v>9</v>
      </c>
      <c r="BX231" s="44">
        <f t="shared" si="52"/>
        <v>0</v>
      </c>
      <c r="BY231" s="44">
        <f t="shared" si="53"/>
        <v>0</v>
      </c>
      <c r="BZ231" s="56"/>
      <c r="CA231" s="44">
        <f t="shared" si="54"/>
        <v>9</v>
      </c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  <c r="CS231" s="56"/>
      <c r="CT231" s="56"/>
      <c r="CU231" s="56"/>
      <c r="CV231" s="56"/>
    </row>
    <row r="232" spans="1:100" s="49" customFormat="1" ht="15.75" customHeight="1" x14ac:dyDescent="0.25">
      <c r="A232" s="40" t="s">
        <v>531</v>
      </c>
      <c r="B232" s="46" t="s">
        <v>88</v>
      </c>
      <c r="C232" s="61">
        <v>-33505741</v>
      </c>
      <c r="D232" s="50">
        <v>-70624308</v>
      </c>
      <c r="E232" s="54" t="s">
        <v>724</v>
      </c>
      <c r="F232" s="54">
        <v>-33503687</v>
      </c>
      <c r="G232" s="54">
        <v>-70626611</v>
      </c>
      <c r="H232" s="54" t="s">
        <v>725</v>
      </c>
      <c r="I232" s="54">
        <v>0</v>
      </c>
      <c r="J232" s="54">
        <v>0</v>
      </c>
      <c r="K232" s="54">
        <v>0</v>
      </c>
      <c r="L232" s="54">
        <v>1</v>
      </c>
      <c r="M232" s="54">
        <v>0</v>
      </c>
      <c r="N232" s="54">
        <v>0</v>
      </c>
      <c r="O232" s="54">
        <v>0</v>
      </c>
      <c r="P232" s="54">
        <v>0</v>
      </c>
      <c r="Q232" s="54">
        <v>0</v>
      </c>
      <c r="R232" s="54">
        <v>0</v>
      </c>
      <c r="S232" s="54">
        <v>0</v>
      </c>
      <c r="T232" s="54">
        <v>0</v>
      </c>
      <c r="U232" s="54">
        <v>0</v>
      </c>
      <c r="V232" s="54">
        <v>0</v>
      </c>
      <c r="W232" s="54">
        <v>0</v>
      </c>
      <c r="X232" s="54">
        <v>0</v>
      </c>
      <c r="Y232" s="54">
        <v>0</v>
      </c>
      <c r="Z232" s="54">
        <v>0</v>
      </c>
      <c r="AA232" s="54">
        <v>0</v>
      </c>
      <c r="AB232" s="54">
        <v>0</v>
      </c>
      <c r="AC232" s="54">
        <v>1</v>
      </c>
      <c r="AD232" s="54">
        <v>1</v>
      </c>
      <c r="AE232" s="54">
        <v>0</v>
      </c>
      <c r="AF232" s="54">
        <v>1</v>
      </c>
      <c r="AG232" s="54">
        <v>1</v>
      </c>
      <c r="AH232" s="54">
        <v>0</v>
      </c>
      <c r="AI232" s="54">
        <v>0</v>
      </c>
      <c r="AJ232" s="54">
        <v>0</v>
      </c>
      <c r="AK232" s="46">
        <f t="shared" si="45"/>
        <v>5</v>
      </c>
      <c r="AL232" s="46"/>
      <c r="AM232" s="54">
        <v>1</v>
      </c>
      <c r="AN232" s="54">
        <v>1</v>
      </c>
      <c r="AO232" s="54">
        <v>0</v>
      </c>
      <c r="AP232" s="54">
        <v>0</v>
      </c>
      <c r="AQ232" s="54">
        <v>0</v>
      </c>
      <c r="AR232" s="54">
        <v>0</v>
      </c>
      <c r="AS232" s="54">
        <v>0</v>
      </c>
      <c r="AT232" s="54">
        <v>0</v>
      </c>
      <c r="AU232" s="54">
        <v>0</v>
      </c>
      <c r="AV232" s="54">
        <v>0</v>
      </c>
      <c r="AW232" s="54">
        <v>1</v>
      </c>
      <c r="AX232" s="54">
        <v>1</v>
      </c>
      <c r="AY232" s="54">
        <v>0</v>
      </c>
      <c r="AZ232" s="46">
        <f t="shared" si="46"/>
        <v>4</v>
      </c>
      <c r="BA232" s="46"/>
      <c r="BB232" s="54">
        <v>0</v>
      </c>
      <c r="BC232" s="54">
        <v>0</v>
      </c>
      <c r="BD232" s="54">
        <v>0</v>
      </c>
      <c r="BE232" s="54">
        <v>0</v>
      </c>
      <c r="BF232" s="54">
        <v>0</v>
      </c>
      <c r="BG232" s="54">
        <v>0</v>
      </c>
      <c r="BH232" s="54">
        <v>0</v>
      </c>
      <c r="BI232" s="54">
        <v>0</v>
      </c>
      <c r="BJ232" s="46">
        <f t="shared" si="47"/>
        <v>0</v>
      </c>
      <c r="BK232" s="50"/>
      <c r="BL232" s="56">
        <v>0</v>
      </c>
      <c r="BM232" s="56">
        <v>0</v>
      </c>
      <c r="BN232" s="56">
        <v>0</v>
      </c>
      <c r="BO232" s="56">
        <v>0</v>
      </c>
      <c r="BP232" s="56">
        <v>0</v>
      </c>
      <c r="BQ232" s="56">
        <v>0</v>
      </c>
      <c r="BR232" s="54">
        <v>0</v>
      </c>
      <c r="BS232" s="47">
        <f t="shared" si="48"/>
        <v>0</v>
      </c>
      <c r="BT232" s="47"/>
      <c r="BU232" s="44">
        <f t="shared" si="49"/>
        <v>5</v>
      </c>
      <c r="BV232" s="44">
        <f t="shared" si="50"/>
        <v>4</v>
      </c>
      <c r="BW232" s="44">
        <f t="shared" si="51"/>
        <v>9</v>
      </c>
      <c r="BX232" s="44">
        <f t="shared" si="52"/>
        <v>0</v>
      </c>
      <c r="BY232" s="44">
        <f t="shared" si="53"/>
        <v>0</v>
      </c>
      <c r="BZ232" s="56"/>
      <c r="CA232" s="44">
        <f t="shared" si="54"/>
        <v>9</v>
      </c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6"/>
      <c r="CV232" s="56"/>
    </row>
    <row r="233" spans="1:100" s="49" customFormat="1" ht="15.75" customHeight="1" x14ac:dyDescent="0.25">
      <c r="A233" s="40" t="s">
        <v>531</v>
      </c>
      <c r="B233" s="46" t="s">
        <v>88</v>
      </c>
      <c r="C233" s="61">
        <v>-33505741</v>
      </c>
      <c r="D233" s="50">
        <v>-70624308</v>
      </c>
      <c r="E233" s="54" t="s">
        <v>726</v>
      </c>
      <c r="F233" s="54">
        <v>-33503205</v>
      </c>
      <c r="G233" s="54">
        <v>-70626485</v>
      </c>
      <c r="H233" s="54" t="s">
        <v>727</v>
      </c>
      <c r="I233" s="54">
        <v>0</v>
      </c>
      <c r="J233" s="54">
        <v>0</v>
      </c>
      <c r="K233" s="54">
        <v>0</v>
      </c>
      <c r="L233" s="54">
        <v>1</v>
      </c>
      <c r="M233" s="54">
        <v>1</v>
      </c>
      <c r="N233" s="54">
        <v>1</v>
      </c>
      <c r="O233" s="54">
        <v>1</v>
      </c>
      <c r="P233" s="54">
        <v>0</v>
      </c>
      <c r="Q233" s="54">
        <v>1</v>
      </c>
      <c r="R233" s="54">
        <v>0</v>
      </c>
      <c r="S233" s="54">
        <v>1</v>
      </c>
      <c r="T233" s="54">
        <v>0</v>
      </c>
      <c r="U233" s="54">
        <v>0</v>
      </c>
      <c r="V233" s="54">
        <v>0</v>
      </c>
      <c r="W233" s="54">
        <v>1</v>
      </c>
      <c r="X233" s="54">
        <v>1</v>
      </c>
      <c r="Y233" s="54">
        <v>0</v>
      </c>
      <c r="Z233" s="54">
        <v>0</v>
      </c>
      <c r="AA233" s="54">
        <v>0</v>
      </c>
      <c r="AB233" s="54">
        <v>0</v>
      </c>
      <c r="AC233" s="54">
        <v>1</v>
      </c>
      <c r="AD233" s="54">
        <v>1</v>
      </c>
      <c r="AE233" s="54">
        <v>0</v>
      </c>
      <c r="AF233" s="54">
        <v>1</v>
      </c>
      <c r="AG233" s="54">
        <v>1</v>
      </c>
      <c r="AH233" s="54">
        <v>0</v>
      </c>
      <c r="AI233" s="54">
        <v>0</v>
      </c>
      <c r="AJ233" s="54">
        <v>0</v>
      </c>
      <c r="AK233" s="46">
        <f t="shared" si="45"/>
        <v>12</v>
      </c>
      <c r="AL233" s="46"/>
      <c r="AM233" s="54">
        <v>1</v>
      </c>
      <c r="AN233" s="54">
        <v>1</v>
      </c>
      <c r="AO233" s="54">
        <v>1</v>
      </c>
      <c r="AP233" s="54">
        <v>1</v>
      </c>
      <c r="AQ233" s="54">
        <v>1</v>
      </c>
      <c r="AR233" s="54">
        <v>0</v>
      </c>
      <c r="AS233" s="54">
        <v>0</v>
      </c>
      <c r="AT233" s="54">
        <v>0</v>
      </c>
      <c r="AU233" s="54">
        <v>0</v>
      </c>
      <c r="AV233" s="54">
        <v>0</v>
      </c>
      <c r="AW233" s="54">
        <v>1</v>
      </c>
      <c r="AX233" s="54">
        <v>0</v>
      </c>
      <c r="AY233" s="54">
        <v>1</v>
      </c>
      <c r="AZ233" s="46">
        <f t="shared" si="46"/>
        <v>7</v>
      </c>
      <c r="BA233" s="46"/>
      <c r="BB233" s="54">
        <v>0</v>
      </c>
      <c r="BC233" s="54">
        <v>0</v>
      </c>
      <c r="BD233" s="54">
        <v>0</v>
      </c>
      <c r="BE233" s="54">
        <v>0</v>
      </c>
      <c r="BF233" s="54">
        <v>0</v>
      </c>
      <c r="BG233" s="54">
        <v>0</v>
      </c>
      <c r="BH233" s="54">
        <v>0</v>
      </c>
      <c r="BI233" s="54">
        <v>0</v>
      </c>
      <c r="BJ233" s="46">
        <f t="shared" si="47"/>
        <v>0</v>
      </c>
      <c r="BK233" s="50"/>
      <c r="BL233" s="56">
        <v>0</v>
      </c>
      <c r="BM233" s="56">
        <v>0</v>
      </c>
      <c r="BN233" s="56">
        <v>0</v>
      </c>
      <c r="BO233" s="56">
        <v>0</v>
      </c>
      <c r="BP233" s="56">
        <v>0</v>
      </c>
      <c r="BQ233" s="56">
        <v>0</v>
      </c>
      <c r="BR233" s="54">
        <v>0</v>
      </c>
      <c r="BS233" s="47">
        <f t="shared" si="48"/>
        <v>0</v>
      </c>
      <c r="BT233" s="47"/>
      <c r="BU233" s="44">
        <f t="shared" si="49"/>
        <v>12</v>
      </c>
      <c r="BV233" s="44">
        <f t="shared" si="50"/>
        <v>7</v>
      </c>
      <c r="BW233" s="44">
        <f t="shared" si="51"/>
        <v>19</v>
      </c>
      <c r="BX233" s="44">
        <f t="shared" si="52"/>
        <v>0</v>
      </c>
      <c r="BY233" s="44">
        <f t="shared" si="53"/>
        <v>0</v>
      </c>
      <c r="BZ233" s="56"/>
      <c r="CA233" s="44">
        <f t="shared" si="54"/>
        <v>19</v>
      </c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  <c r="CT233" s="56"/>
      <c r="CU233" s="56"/>
      <c r="CV233" s="56"/>
    </row>
    <row r="234" spans="1:100" s="49" customFormat="1" ht="15.75" customHeight="1" x14ac:dyDescent="0.25">
      <c r="A234" s="40" t="s">
        <v>531</v>
      </c>
      <c r="B234" s="46" t="s">
        <v>88</v>
      </c>
      <c r="C234" s="61">
        <v>-33505741</v>
      </c>
      <c r="D234" s="50">
        <v>-70624308</v>
      </c>
      <c r="E234" s="54" t="s">
        <v>728</v>
      </c>
      <c r="F234" s="54">
        <v>-33502121</v>
      </c>
      <c r="G234" s="54">
        <v>-70627111</v>
      </c>
      <c r="H234" s="54" t="s">
        <v>729</v>
      </c>
      <c r="I234" s="54">
        <v>0</v>
      </c>
      <c r="J234" s="54">
        <v>0</v>
      </c>
      <c r="K234" s="54">
        <v>0</v>
      </c>
      <c r="L234" s="54">
        <v>0</v>
      </c>
      <c r="M234" s="54">
        <v>0</v>
      </c>
      <c r="N234" s="54">
        <v>1</v>
      </c>
      <c r="O234" s="54">
        <v>1</v>
      </c>
      <c r="P234" s="54">
        <v>0</v>
      </c>
      <c r="Q234" s="54">
        <v>0</v>
      </c>
      <c r="R234" s="54">
        <v>1</v>
      </c>
      <c r="S234" s="54">
        <v>0</v>
      </c>
      <c r="T234" s="54">
        <v>0</v>
      </c>
      <c r="U234" s="54">
        <v>0</v>
      </c>
      <c r="V234" s="54">
        <v>0</v>
      </c>
      <c r="W234" s="54">
        <v>0</v>
      </c>
      <c r="X234" s="54">
        <v>0</v>
      </c>
      <c r="Y234" s="54">
        <v>0</v>
      </c>
      <c r="Z234" s="54">
        <v>0</v>
      </c>
      <c r="AA234" s="54">
        <v>0</v>
      </c>
      <c r="AB234" s="54">
        <v>0</v>
      </c>
      <c r="AC234" s="54">
        <v>1</v>
      </c>
      <c r="AD234" s="54">
        <v>1</v>
      </c>
      <c r="AE234" s="54">
        <v>0</v>
      </c>
      <c r="AF234" s="54">
        <v>1</v>
      </c>
      <c r="AG234" s="54">
        <v>1</v>
      </c>
      <c r="AH234" s="54">
        <v>0</v>
      </c>
      <c r="AI234" s="54">
        <v>0</v>
      </c>
      <c r="AJ234" s="54">
        <v>0</v>
      </c>
      <c r="AK234" s="46">
        <f t="shared" si="45"/>
        <v>7</v>
      </c>
      <c r="AL234" s="46"/>
      <c r="AM234" s="54">
        <v>0</v>
      </c>
      <c r="AN234" s="54">
        <v>1</v>
      </c>
      <c r="AO234" s="54">
        <v>1</v>
      </c>
      <c r="AP234" s="54">
        <v>1</v>
      </c>
      <c r="AQ234" s="54">
        <v>0</v>
      </c>
      <c r="AR234" s="54">
        <v>0</v>
      </c>
      <c r="AS234" s="54">
        <v>1</v>
      </c>
      <c r="AT234" s="54">
        <v>1</v>
      </c>
      <c r="AU234" s="54">
        <v>1</v>
      </c>
      <c r="AV234" s="54">
        <v>0</v>
      </c>
      <c r="AW234" s="54">
        <v>1</v>
      </c>
      <c r="AX234" s="54">
        <v>0</v>
      </c>
      <c r="AY234" s="54">
        <v>0</v>
      </c>
      <c r="AZ234" s="46">
        <f t="shared" si="46"/>
        <v>7</v>
      </c>
      <c r="BA234" s="46"/>
      <c r="BB234" s="54">
        <v>0</v>
      </c>
      <c r="BC234" s="54">
        <v>0</v>
      </c>
      <c r="BD234" s="54">
        <v>0</v>
      </c>
      <c r="BE234" s="54">
        <v>0</v>
      </c>
      <c r="BF234" s="54">
        <v>0</v>
      </c>
      <c r="BG234" s="54">
        <v>0</v>
      </c>
      <c r="BH234" s="54">
        <v>0</v>
      </c>
      <c r="BI234" s="54">
        <v>0</v>
      </c>
      <c r="BJ234" s="46">
        <f t="shared" si="47"/>
        <v>0</v>
      </c>
      <c r="BK234" s="50"/>
      <c r="BL234" s="56">
        <v>0</v>
      </c>
      <c r="BM234" s="56">
        <v>0</v>
      </c>
      <c r="BN234" s="56">
        <v>0</v>
      </c>
      <c r="BO234" s="56">
        <v>0</v>
      </c>
      <c r="BP234" s="56">
        <v>0</v>
      </c>
      <c r="BQ234" s="56">
        <v>0</v>
      </c>
      <c r="BR234" s="54">
        <v>0</v>
      </c>
      <c r="BS234" s="47">
        <f t="shared" si="48"/>
        <v>0</v>
      </c>
      <c r="BT234" s="47"/>
      <c r="BU234" s="44">
        <f t="shared" si="49"/>
        <v>7</v>
      </c>
      <c r="BV234" s="44">
        <f t="shared" si="50"/>
        <v>7</v>
      </c>
      <c r="BW234" s="44">
        <f t="shared" si="51"/>
        <v>14</v>
      </c>
      <c r="BX234" s="44">
        <f t="shared" si="52"/>
        <v>0</v>
      </c>
      <c r="BY234" s="44">
        <f t="shared" si="53"/>
        <v>0</v>
      </c>
      <c r="BZ234" s="56"/>
      <c r="CA234" s="44">
        <f t="shared" si="54"/>
        <v>14</v>
      </c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6"/>
      <c r="CV234" s="56"/>
    </row>
    <row r="235" spans="1:100" s="49" customFormat="1" ht="15.75" customHeight="1" x14ac:dyDescent="0.25">
      <c r="A235" s="40" t="s">
        <v>531</v>
      </c>
      <c r="B235" s="46" t="s">
        <v>88</v>
      </c>
      <c r="C235" s="61">
        <v>-33505741</v>
      </c>
      <c r="D235" s="50">
        <v>-70624308</v>
      </c>
      <c r="E235" s="54" t="s">
        <v>730</v>
      </c>
      <c r="F235" s="54">
        <v>-33504805</v>
      </c>
      <c r="G235" s="54">
        <v>-70627964</v>
      </c>
      <c r="H235" s="54" t="s">
        <v>731</v>
      </c>
      <c r="I235" s="54">
        <v>0</v>
      </c>
      <c r="J235" s="54">
        <v>0</v>
      </c>
      <c r="K235" s="54">
        <v>0</v>
      </c>
      <c r="L235" s="54">
        <v>1</v>
      </c>
      <c r="M235" s="54">
        <v>1</v>
      </c>
      <c r="N235" s="54">
        <v>1</v>
      </c>
      <c r="O235" s="54">
        <v>1</v>
      </c>
      <c r="P235" s="54">
        <v>0</v>
      </c>
      <c r="Q235" s="54">
        <v>1</v>
      </c>
      <c r="R235" s="54">
        <v>1</v>
      </c>
      <c r="S235" s="54">
        <v>1</v>
      </c>
      <c r="T235" s="54">
        <v>0</v>
      </c>
      <c r="U235" s="54">
        <v>0</v>
      </c>
      <c r="V235" s="54">
        <v>0</v>
      </c>
      <c r="W235" s="54">
        <v>1</v>
      </c>
      <c r="X235" s="54">
        <v>1</v>
      </c>
      <c r="Y235" s="54">
        <v>0</v>
      </c>
      <c r="Z235" s="54">
        <v>0</v>
      </c>
      <c r="AA235" s="54">
        <v>0</v>
      </c>
      <c r="AB235" s="54">
        <v>0</v>
      </c>
      <c r="AC235" s="54">
        <v>1</v>
      </c>
      <c r="AD235" s="54">
        <v>1</v>
      </c>
      <c r="AE235" s="54">
        <v>0</v>
      </c>
      <c r="AF235" s="54">
        <v>1</v>
      </c>
      <c r="AG235" s="54">
        <v>1</v>
      </c>
      <c r="AH235" s="54">
        <v>1</v>
      </c>
      <c r="AI235" s="54">
        <v>0</v>
      </c>
      <c r="AJ235" s="54">
        <v>0</v>
      </c>
      <c r="AK235" s="46">
        <f t="shared" si="45"/>
        <v>14</v>
      </c>
      <c r="AL235" s="46"/>
      <c r="AM235" s="54">
        <v>1</v>
      </c>
      <c r="AN235" s="54">
        <v>1</v>
      </c>
      <c r="AO235" s="54">
        <v>1</v>
      </c>
      <c r="AP235" s="54">
        <v>0</v>
      </c>
      <c r="AQ235" s="54">
        <v>1</v>
      </c>
      <c r="AR235" s="54">
        <v>0</v>
      </c>
      <c r="AS235" s="54">
        <v>1</v>
      </c>
      <c r="AT235" s="54">
        <v>0</v>
      </c>
      <c r="AU235" s="54">
        <v>0</v>
      </c>
      <c r="AV235" s="54">
        <v>0</v>
      </c>
      <c r="AW235" s="54">
        <v>1</v>
      </c>
      <c r="AX235" s="54">
        <v>1</v>
      </c>
      <c r="AY235" s="54">
        <v>0</v>
      </c>
      <c r="AZ235" s="46">
        <f t="shared" si="46"/>
        <v>7</v>
      </c>
      <c r="BA235" s="46"/>
      <c r="BB235" s="54">
        <v>0</v>
      </c>
      <c r="BC235" s="54">
        <v>0</v>
      </c>
      <c r="BD235" s="54">
        <v>0</v>
      </c>
      <c r="BE235" s="54">
        <v>0</v>
      </c>
      <c r="BF235" s="54">
        <v>0</v>
      </c>
      <c r="BG235" s="54">
        <v>0</v>
      </c>
      <c r="BH235" s="54">
        <v>0</v>
      </c>
      <c r="BI235" s="54">
        <v>0</v>
      </c>
      <c r="BJ235" s="46">
        <f t="shared" si="47"/>
        <v>0</v>
      </c>
      <c r="BK235" s="50"/>
      <c r="BL235" s="56">
        <v>0</v>
      </c>
      <c r="BM235" s="56">
        <v>0</v>
      </c>
      <c r="BN235" s="56">
        <v>0</v>
      </c>
      <c r="BO235" s="56">
        <v>0</v>
      </c>
      <c r="BP235" s="56">
        <v>0</v>
      </c>
      <c r="BQ235" s="56">
        <v>0</v>
      </c>
      <c r="BR235" s="54">
        <v>0</v>
      </c>
      <c r="BS235" s="47">
        <f t="shared" si="48"/>
        <v>0</v>
      </c>
      <c r="BT235" s="47"/>
      <c r="BU235" s="44">
        <f t="shared" si="49"/>
        <v>14</v>
      </c>
      <c r="BV235" s="44">
        <f t="shared" si="50"/>
        <v>7</v>
      </c>
      <c r="BW235" s="44">
        <f t="shared" si="51"/>
        <v>21</v>
      </c>
      <c r="BX235" s="44">
        <f t="shared" si="52"/>
        <v>0</v>
      </c>
      <c r="BY235" s="44">
        <f t="shared" si="53"/>
        <v>0</v>
      </c>
      <c r="BZ235" s="56"/>
      <c r="CA235" s="44">
        <f t="shared" si="54"/>
        <v>21</v>
      </c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  <c r="CT235" s="56"/>
      <c r="CU235" s="56"/>
      <c r="CV235" s="56"/>
    </row>
    <row r="236" spans="1:100" s="49" customFormat="1" ht="15.75" customHeight="1" x14ac:dyDescent="0.25">
      <c r="A236" s="40" t="s">
        <v>531</v>
      </c>
      <c r="B236" s="46" t="s">
        <v>88</v>
      </c>
      <c r="C236" s="61">
        <v>-33505741</v>
      </c>
      <c r="D236" s="50">
        <v>-70624308</v>
      </c>
      <c r="E236" s="54" t="s">
        <v>732</v>
      </c>
      <c r="F236" s="54">
        <v>-33504805</v>
      </c>
      <c r="G236" s="54">
        <v>-70627964</v>
      </c>
      <c r="H236" s="54" t="s">
        <v>733</v>
      </c>
      <c r="I236" s="54">
        <v>0</v>
      </c>
      <c r="J236" s="54">
        <v>0</v>
      </c>
      <c r="K236" s="54">
        <v>0</v>
      </c>
      <c r="L236" s="54">
        <v>0</v>
      </c>
      <c r="M236" s="54">
        <v>1</v>
      </c>
      <c r="N236" s="54">
        <v>1</v>
      </c>
      <c r="O236" s="54">
        <v>1</v>
      </c>
      <c r="P236" s="54">
        <v>0</v>
      </c>
      <c r="Q236" s="54">
        <v>1</v>
      </c>
      <c r="R236" s="54">
        <v>0</v>
      </c>
      <c r="S236" s="54">
        <v>1</v>
      </c>
      <c r="T236" s="54">
        <v>0</v>
      </c>
      <c r="U236" s="54">
        <v>0</v>
      </c>
      <c r="V236" s="54">
        <v>0</v>
      </c>
      <c r="W236" s="54">
        <v>1</v>
      </c>
      <c r="X236" s="54">
        <v>1</v>
      </c>
      <c r="Y236" s="54">
        <v>0</v>
      </c>
      <c r="Z236" s="54">
        <v>0</v>
      </c>
      <c r="AA236" s="54">
        <v>0</v>
      </c>
      <c r="AB236" s="54">
        <v>0</v>
      </c>
      <c r="AC236" s="54">
        <v>1</v>
      </c>
      <c r="AD236" s="54">
        <v>0</v>
      </c>
      <c r="AE236" s="54">
        <v>0</v>
      </c>
      <c r="AF236" s="54">
        <v>1</v>
      </c>
      <c r="AG236" s="54">
        <v>1</v>
      </c>
      <c r="AH236" s="54">
        <v>0</v>
      </c>
      <c r="AI236" s="54">
        <v>0</v>
      </c>
      <c r="AJ236" s="54">
        <v>0</v>
      </c>
      <c r="AK236" s="46">
        <f t="shared" si="45"/>
        <v>10</v>
      </c>
      <c r="AL236" s="46"/>
      <c r="AM236" s="54">
        <v>1</v>
      </c>
      <c r="AN236" s="54">
        <v>1</v>
      </c>
      <c r="AO236" s="54">
        <v>1</v>
      </c>
      <c r="AP236" s="54">
        <v>1</v>
      </c>
      <c r="AQ236" s="54">
        <v>0</v>
      </c>
      <c r="AR236" s="54">
        <v>0</v>
      </c>
      <c r="AS236" s="54">
        <v>0</v>
      </c>
      <c r="AT236" s="54">
        <v>0</v>
      </c>
      <c r="AU236" s="54">
        <v>0</v>
      </c>
      <c r="AV236" s="54">
        <v>0</v>
      </c>
      <c r="AW236" s="54">
        <v>1</v>
      </c>
      <c r="AX236" s="54">
        <v>0</v>
      </c>
      <c r="AY236" s="54">
        <v>1</v>
      </c>
      <c r="AZ236" s="46">
        <f t="shared" si="46"/>
        <v>6</v>
      </c>
      <c r="BA236" s="46"/>
      <c r="BB236" s="54">
        <v>0</v>
      </c>
      <c r="BC236" s="54">
        <v>0</v>
      </c>
      <c r="BD236" s="54">
        <v>0</v>
      </c>
      <c r="BE236" s="54">
        <v>0</v>
      </c>
      <c r="BF236" s="54">
        <v>0</v>
      </c>
      <c r="BG236" s="54">
        <v>0</v>
      </c>
      <c r="BH236" s="54">
        <v>0</v>
      </c>
      <c r="BI236" s="54">
        <v>0</v>
      </c>
      <c r="BJ236" s="46">
        <f t="shared" si="47"/>
        <v>0</v>
      </c>
      <c r="BK236" s="50"/>
      <c r="BL236" s="56">
        <v>0</v>
      </c>
      <c r="BM236" s="56">
        <v>0</v>
      </c>
      <c r="BN236" s="56">
        <v>0</v>
      </c>
      <c r="BO236" s="56">
        <v>0</v>
      </c>
      <c r="BP236" s="56">
        <v>0</v>
      </c>
      <c r="BQ236" s="56">
        <v>0</v>
      </c>
      <c r="BR236" s="54">
        <v>0</v>
      </c>
      <c r="BS236" s="47">
        <f t="shared" si="48"/>
        <v>0</v>
      </c>
      <c r="BT236" s="47"/>
      <c r="BU236" s="44">
        <f t="shared" si="49"/>
        <v>10</v>
      </c>
      <c r="BV236" s="44">
        <f t="shared" si="50"/>
        <v>6</v>
      </c>
      <c r="BW236" s="44">
        <f t="shared" si="51"/>
        <v>16</v>
      </c>
      <c r="BX236" s="44">
        <f t="shared" si="52"/>
        <v>0</v>
      </c>
      <c r="BY236" s="44">
        <f t="shared" si="53"/>
        <v>0</v>
      </c>
      <c r="BZ236" s="56"/>
      <c r="CA236" s="44">
        <f t="shared" si="54"/>
        <v>16</v>
      </c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  <c r="CS236" s="56"/>
      <c r="CT236" s="56"/>
      <c r="CU236" s="56"/>
      <c r="CV236" s="56"/>
    </row>
    <row r="237" spans="1:100" s="49" customFormat="1" ht="15.75" customHeight="1" x14ac:dyDescent="0.25">
      <c r="A237" s="40" t="s">
        <v>531</v>
      </c>
      <c r="B237" s="46" t="s">
        <v>88</v>
      </c>
      <c r="C237" s="61">
        <v>-33505741</v>
      </c>
      <c r="D237" s="50">
        <v>-70624308</v>
      </c>
      <c r="E237" s="54" t="s">
        <v>734</v>
      </c>
      <c r="F237" s="54">
        <v>-33507051</v>
      </c>
      <c r="G237" s="54">
        <v>-70626154</v>
      </c>
      <c r="H237" s="54" t="s">
        <v>220</v>
      </c>
      <c r="I237" s="54">
        <v>0</v>
      </c>
      <c r="J237" s="54">
        <v>0</v>
      </c>
      <c r="K237" s="54">
        <v>0</v>
      </c>
      <c r="L237" s="54">
        <v>0</v>
      </c>
      <c r="M237" s="54">
        <v>0</v>
      </c>
      <c r="N237" s="54">
        <v>1</v>
      </c>
      <c r="O237" s="54">
        <v>1</v>
      </c>
      <c r="P237" s="54">
        <v>0</v>
      </c>
      <c r="Q237" s="54">
        <v>0</v>
      </c>
      <c r="R237" s="54">
        <v>0</v>
      </c>
      <c r="S237" s="54">
        <v>0</v>
      </c>
      <c r="T237" s="54">
        <v>0</v>
      </c>
      <c r="U237" s="54">
        <v>0</v>
      </c>
      <c r="V237" s="54">
        <v>0</v>
      </c>
      <c r="W237" s="54">
        <v>1</v>
      </c>
      <c r="X237" s="54">
        <v>0</v>
      </c>
      <c r="Y237" s="54">
        <v>0</v>
      </c>
      <c r="Z237" s="54">
        <v>0</v>
      </c>
      <c r="AA237" s="54">
        <v>0</v>
      </c>
      <c r="AB237" s="54">
        <v>0</v>
      </c>
      <c r="AC237" s="54">
        <v>1</v>
      </c>
      <c r="AD237" s="54">
        <v>0</v>
      </c>
      <c r="AE237" s="54">
        <v>0</v>
      </c>
      <c r="AF237" s="54">
        <v>0</v>
      </c>
      <c r="AG237" s="54">
        <v>0</v>
      </c>
      <c r="AH237" s="54">
        <v>0</v>
      </c>
      <c r="AI237" s="54">
        <v>0</v>
      </c>
      <c r="AJ237" s="54">
        <v>0</v>
      </c>
      <c r="AK237" s="46">
        <f t="shared" si="45"/>
        <v>4</v>
      </c>
      <c r="AL237" s="46"/>
      <c r="AM237" s="54">
        <v>1</v>
      </c>
      <c r="AN237" s="54">
        <v>1</v>
      </c>
      <c r="AO237" s="54">
        <v>1</v>
      </c>
      <c r="AP237" s="54">
        <v>0</v>
      </c>
      <c r="AQ237" s="54">
        <v>0</v>
      </c>
      <c r="AR237" s="54">
        <v>0</v>
      </c>
      <c r="AS237" s="54">
        <v>1</v>
      </c>
      <c r="AT237" s="54">
        <v>0</v>
      </c>
      <c r="AU237" s="54">
        <v>0</v>
      </c>
      <c r="AV237" s="54">
        <v>0</v>
      </c>
      <c r="AW237" s="54">
        <v>1</v>
      </c>
      <c r="AX237" s="54">
        <v>0</v>
      </c>
      <c r="AY237" s="54">
        <v>0</v>
      </c>
      <c r="AZ237" s="46">
        <f t="shared" si="46"/>
        <v>5</v>
      </c>
      <c r="BA237" s="46"/>
      <c r="BB237" s="54">
        <v>0</v>
      </c>
      <c r="BC237" s="54">
        <v>0</v>
      </c>
      <c r="BD237" s="54">
        <v>0</v>
      </c>
      <c r="BE237" s="54">
        <v>0</v>
      </c>
      <c r="BF237" s="54">
        <v>0</v>
      </c>
      <c r="BG237" s="54">
        <v>0</v>
      </c>
      <c r="BH237" s="54">
        <v>0</v>
      </c>
      <c r="BI237" s="54">
        <v>0</v>
      </c>
      <c r="BJ237" s="46">
        <f t="shared" si="47"/>
        <v>0</v>
      </c>
      <c r="BK237" s="50"/>
      <c r="BL237" s="56">
        <v>0</v>
      </c>
      <c r="BM237" s="56">
        <v>0</v>
      </c>
      <c r="BN237" s="56">
        <v>0</v>
      </c>
      <c r="BO237" s="56">
        <v>0</v>
      </c>
      <c r="BP237" s="56">
        <v>0</v>
      </c>
      <c r="BQ237" s="56">
        <v>0</v>
      </c>
      <c r="BR237" s="54">
        <v>0</v>
      </c>
      <c r="BS237" s="47">
        <f t="shared" si="48"/>
        <v>0</v>
      </c>
      <c r="BT237" s="47"/>
      <c r="BU237" s="44">
        <f t="shared" si="49"/>
        <v>4</v>
      </c>
      <c r="BV237" s="44">
        <f t="shared" si="50"/>
        <v>5</v>
      </c>
      <c r="BW237" s="44">
        <f t="shared" si="51"/>
        <v>9</v>
      </c>
      <c r="BX237" s="44">
        <f t="shared" si="52"/>
        <v>0</v>
      </c>
      <c r="BY237" s="44">
        <f t="shared" si="53"/>
        <v>0</v>
      </c>
      <c r="BZ237" s="56"/>
      <c r="CA237" s="44">
        <f t="shared" si="54"/>
        <v>9</v>
      </c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  <c r="CT237" s="56"/>
      <c r="CU237" s="56"/>
      <c r="CV237" s="56"/>
    </row>
    <row r="238" spans="1:100" s="49" customFormat="1" ht="15.75" customHeight="1" x14ac:dyDescent="0.25">
      <c r="A238" s="40" t="s">
        <v>531</v>
      </c>
      <c r="B238" s="46" t="s">
        <v>88</v>
      </c>
      <c r="C238" s="61">
        <v>-33505741</v>
      </c>
      <c r="D238" s="50">
        <v>-70624308</v>
      </c>
      <c r="E238" s="54" t="s">
        <v>735</v>
      </c>
      <c r="F238" s="54">
        <v>-33507415</v>
      </c>
      <c r="G238" s="54">
        <v>-70626518</v>
      </c>
      <c r="H238" s="54" t="s">
        <v>252</v>
      </c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46">
        <f t="shared" si="45"/>
        <v>0</v>
      </c>
      <c r="AL238" s="46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46">
        <f t="shared" si="46"/>
        <v>0</v>
      </c>
      <c r="BA238" s="46"/>
      <c r="BB238" s="54"/>
      <c r="BC238" s="54"/>
      <c r="BD238" s="54"/>
      <c r="BE238" s="54"/>
      <c r="BF238" s="54"/>
      <c r="BG238" s="54"/>
      <c r="BH238" s="54"/>
      <c r="BI238" s="54"/>
      <c r="BJ238" s="46">
        <f t="shared" si="47"/>
        <v>0</v>
      </c>
      <c r="BK238" s="50"/>
      <c r="BL238" s="56"/>
      <c r="BM238" s="56"/>
      <c r="BN238" s="56"/>
      <c r="BO238" s="56"/>
      <c r="BP238" s="56"/>
      <c r="BQ238" s="56"/>
      <c r="BR238" s="54"/>
      <c r="BS238" s="47">
        <f t="shared" si="48"/>
        <v>0</v>
      </c>
      <c r="BT238" s="47"/>
      <c r="BU238" s="44">
        <f t="shared" si="49"/>
        <v>0</v>
      </c>
      <c r="BV238" s="44">
        <f t="shared" si="50"/>
        <v>0</v>
      </c>
      <c r="BW238" s="44">
        <f t="shared" si="51"/>
        <v>0</v>
      </c>
      <c r="BX238" s="44">
        <f t="shared" si="52"/>
        <v>0</v>
      </c>
      <c r="BY238" s="44">
        <f t="shared" si="53"/>
        <v>0</v>
      </c>
      <c r="BZ238" s="56"/>
      <c r="CA238" s="44">
        <f t="shared" si="54"/>
        <v>0</v>
      </c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6"/>
      <c r="CV238" s="56"/>
    </row>
    <row r="239" spans="1:100" s="49" customFormat="1" ht="15.75" customHeight="1" x14ac:dyDescent="0.25">
      <c r="A239" s="40" t="s">
        <v>531</v>
      </c>
      <c r="B239" s="46" t="s">
        <v>87</v>
      </c>
      <c r="C239" s="62">
        <v>-33494037</v>
      </c>
      <c r="D239" s="50">
        <v>-70597500</v>
      </c>
      <c r="E239" s="54" t="s">
        <v>736</v>
      </c>
      <c r="F239" s="54">
        <v>-33494477</v>
      </c>
      <c r="G239" s="54">
        <v>-70596554</v>
      </c>
      <c r="H239" s="54" t="s">
        <v>737</v>
      </c>
      <c r="I239" s="54">
        <v>0</v>
      </c>
      <c r="J239" s="54">
        <v>0</v>
      </c>
      <c r="K239" s="54">
        <v>0</v>
      </c>
      <c r="L239" s="54">
        <v>1</v>
      </c>
      <c r="M239" s="54">
        <v>0</v>
      </c>
      <c r="N239" s="54">
        <v>1</v>
      </c>
      <c r="O239" s="54">
        <v>1</v>
      </c>
      <c r="P239" s="54">
        <v>0</v>
      </c>
      <c r="Q239" s="54">
        <v>1</v>
      </c>
      <c r="R239" s="54">
        <v>0</v>
      </c>
      <c r="S239" s="54">
        <v>1</v>
      </c>
      <c r="T239" s="54">
        <v>1</v>
      </c>
      <c r="U239" s="54">
        <v>0</v>
      </c>
      <c r="V239" s="54">
        <v>0</v>
      </c>
      <c r="W239" s="54">
        <v>1</v>
      </c>
      <c r="X239" s="54">
        <v>1</v>
      </c>
      <c r="Y239" s="54">
        <v>0</v>
      </c>
      <c r="Z239" s="54">
        <v>0</v>
      </c>
      <c r="AA239" s="54">
        <v>0</v>
      </c>
      <c r="AB239" s="54">
        <v>0</v>
      </c>
      <c r="AC239" s="54">
        <v>1</v>
      </c>
      <c r="AD239" s="54">
        <v>1</v>
      </c>
      <c r="AE239" s="54">
        <v>0</v>
      </c>
      <c r="AF239" s="54">
        <v>1</v>
      </c>
      <c r="AG239" s="54">
        <v>1</v>
      </c>
      <c r="AH239" s="54">
        <v>1</v>
      </c>
      <c r="AI239" s="54">
        <v>0</v>
      </c>
      <c r="AJ239" s="54">
        <v>0</v>
      </c>
      <c r="AK239" s="46">
        <f t="shared" si="45"/>
        <v>13</v>
      </c>
      <c r="AL239" s="46"/>
      <c r="AM239" s="54">
        <v>1</v>
      </c>
      <c r="AN239" s="54">
        <v>1</v>
      </c>
      <c r="AO239" s="54">
        <v>1</v>
      </c>
      <c r="AP239" s="54">
        <v>1</v>
      </c>
      <c r="AQ239" s="54">
        <v>1</v>
      </c>
      <c r="AR239" s="54">
        <v>1</v>
      </c>
      <c r="AS239" s="54">
        <v>1</v>
      </c>
      <c r="AT239" s="54">
        <v>1</v>
      </c>
      <c r="AU239" s="54">
        <v>0</v>
      </c>
      <c r="AV239" s="54">
        <v>0</v>
      </c>
      <c r="AW239" s="54">
        <v>1</v>
      </c>
      <c r="AX239" s="54">
        <v>0</v>
      </c>
      <c r="AY239" s="54">
        <v>1</v>
      </c>
      <c r="AZ239" s="46">
        <f t="shared" si="46"/>
        <v>10</v>
      </c>
      <c r="BA239" s="46"/>
      <c r="BB239" s="54">
        <v>0</v>
      </c>
      <c r="BC239" s="54">
        <v>0</v>
      </c>
      <c r="BD239" s="54">
        <v>0</v>
      </c>
      <c r="BE239" s="54">
        <v>0</v>
      </c>
      <c r="BF239" s="54">
        <v>0</v>
      </c>
      <c r="BG239" s="54">
        <v>0</v>
      </c>
      <c r="BH239" s="54">
        <v>0</v>
      </c>
      <c r="BI239" s="54">
        <v>0</v>
      </c>
      <c r="BJ239" s="46">
        <f t="shared" si="47"/>
        <v>0</v>
      </c>
      <c r="BK239" s="50"/>
      <c r="BL239" s="56">
        <v>0</v>
      </c>
      <c r="BM239" s="56">
        <v>0</v>
      </c>
      <c r="BN239" s="56">
        <v>0</v>
      </c>
      <c r="BO239" s="56">
        <v>0</v>
      </c>
      <c r="BP239" s="56">
        <v>0</v>
      </c>
      <c r="BQ239" s="56">
        <v>0</v>
      </c>
      <c r="BR239" s="54">
        <v>0</v>
      </c>
      <c r="BS239" s="47">
        <f t="shared" si="48"/>
        <v>0</v>
      </c>
      <c r="BT239" s="47"/>
      <c r="BU239" s="44">
        <f t="shared" si="49"/>
        <v>13</v>
      </c>
      <c r="BV239" s="44">
        <f t="shared" si="50"/>
        <v>10</v>
      </c>
      <c r="BW239" s="44">
        <f t="shared" si="51"/>
        <v>23</v>
      </c>
      <c r="BX239" s="44">
        <f t="shared" si="52"/>
        <v>0</v>
      </c>
      <c r="BY239" s="44">
        <f t="shared" si="53"/>
        <v>0</v>
      </c>
      <c r="BZ239" s="56"/>
      <c r="CA239" s="44">
        <f t="shared" si="54"/>
        <v>23</v>
      </c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</row>
    <row r="240" spans="1:100" s="49" customFormat="1" ht="15.75" customHeight="1" x14ac:dyDescent="0.25">
      <c r="A240" s="40" t="s">
        <v>531</v>
      </c>
      <c r="B240" s="46" t="s">
        <v>87</v>
      </c>
      <c r="C240" s="62">
        <v>-33494037</v>
      </c>
      <c r="D240" s="50">
        <v>-70597500</v>
      </c>
      <c r="E240" s="54" t="s">
        <v>738</v>
      </c>
      <c r="F240" s="54">
        <v>-33491146</v>
      </c>
      <c r="G240" s="54">
        <v>-70598500</v>
      </c>
      <c r="H240" s="54" t="s">
        <v>192</v>
      </c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46">
        <f t="shared" si="45"/>
        <v>0</v>
      </c>
      <c r="AL240" s="46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46">
        <f t="shared" si="46"/>
        <v>0</v>
      </c>
      <c r="BA240" s="46"/>
      <c r="BB240" s="54"/>
      <c r="BC240" s="54"/>
      <c r="BD240" s="54"/>
      <c r="BE240" s="54"/>
      <c r="BF240" s="54"/>
      <c r="BG240" s="54"/>
      <c r="BH240" s="54"/>
      <c r="BI240" s="54"/>
      <c r="BJ240" s="46">
        <f t="shared" si="47"/>
        <v>0</v>
      </c>
      <c r="BK240" s="50"/>
      <c r="BL240" s="56"/>
      <c r="BM240" s="56"/>
      <c r="BN240" s="56"/>
      <c r="BO240" s="56"/>
      <c r="BP240" s="56"/>
      <c r="BQ240" s="56"/>
      <c r="BR240" s="54"/>
      <c r="BS240" s="47">
        <f t="shared" si="48"/>
        <v>0</v>
      </c>
      <c r="BT240" s="47"/>
      <c r="BU240" s="44">
        <f t="shared" si="49"/>
        <v>0</v>
      </c>
      <c r="BV240" s="44">
        <f t="shared" si="50"/>
        <v>0</v>
      </c>
      <c r="BW240" s="44">
        <f t="shared" si="51"/>
        <v>0</v>
      </c>
      <c r="BX240" s="44">
        <f t="shared" si="52"/>
        <v>0</v>
      </c>
      <c r="BY240" s="44">
        <f t="shared" si="53"/>
        <v>0</v>
      </c>
      <c r="BZ240" s="56"/>
      <c r="CA240" s="44">
        <f t="shared" si="54"/>
        <v>0</v>
      </c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</row>
    <row r="241" spans="1:100" s="49" customFormat="1" ht="15.75" customHeight="1" x14ac:dyDescent="0.25">
      <c r="A241" s="40" t="s">
        <v>531</v>
      </c>
      <c r="B241" s="46" t="s">
        <v>87</v>
      </c>
      <c r="C241" s="62">
        <v>-33494037</v>
      </c>
      <c r="D241" s="50">
        <v>-70597500</v>
      </c>
      <c r="E241" s="63" t="s">
        <v>739</v>
      </c>
      <c r="F241" s="54">
        <v>-33496838</v>
      </c>
      <c r="G241" s="54">
        <v>-70598189</v>
      </c>
      <c r="H241" s="54" t="s">
        <v>96</v>
      </c>
      <c r="I241" s="54">
        <v>0</v>
      </c>
      <c r="J241" s="54">
        <v>0</v>
      </c>
      <c r="K241" s="54">
        <v>0</v>
      </c>
      <c r="L241" s="54">
        <v>1</v>
      </c>
      <c r="M241" s="54">
        <v>1</v>
      </c>
      <c r="N241" s="54">
        <v>1</v>
      </c>
      <c r="O241" s="54">
        <v>1</v>
      </c>
      <c r="P241" s="54">
        <v>0</v>
      </c>
      <c r="Q241" s="54">
        <v>1</v>
      </c>
      <c r="R241" s="54">
        <v>0</v>
      </c>
      <c r="S241" s="54">
        <v>0</v>
      </c>
      <c r="T241" s="54">
        <v>1</v>
      </c>
      <c r="U241" s="54">
        <v>0</v>
      </c>
      <c r="V241" s="54">
        <v>0</v>
      </c>
      <c r="W241" s="54">
        <v>1</v>
      </c>
      <c r="X241" s="54">
        <v>1</v>
      </c>
      <c r="Y241" s="54">
        <v>0</v>
      </c>
      <c r="Z241" s="54">
        <v>0</v>
      </c>
      <c r="AA241" s="54">
        <v>0</v>
      </c>
      <c r="AB241" s="54">
        <v>0</v>
      </c>
      <c r="AC241" s="54">
        <v>1</v>
      </c>
      <c r="AD241" s="54">
        <v>1</v>
      </c>
      <c r="AE241" s="54">
        <v>0</v>
      </c>
      <c r="AF241" s="54">
        <v>1</v>
      </c>
      <c r="AG241" s="54">
        <v>1</v>
      </c>
      <c r="AH241" s="54">
        <v>1</v>
      </c>
      <c r="AI241" s="54">
        <v>0</v>
      </c>
      <c r="AJ241" s="54">
        <v>0</v>
      </c>
      <c r="AK241" s="46">
        <f t="shared" si="45"/>
        <v>13</v>
      </c>
      <c r="AL241" s="46"/>
      <c r="AM241" s="54">
        <v>1</v>
      </c>
      <c r="AN241" s="54">
        <v>1</v>
      </c>
      <c r="AO241" s="54">
        <v>1</v>
      </c>
      <c r="AP241" s="54">
        <v>1</v>
      </c>
      <c r="AQ241" s="54">
        <v>1</v>
      </c>
      <c r="AR241" s="54">
        <v>1</v>
      </c>
      <c r="AS241" s="54">
        <v>1</v>
      </c>
      <c r="AT241" s="54">
        <v>0</v>
      </c>
      <c r="AU241" s="54">
        <v>0</v>
      </c>
      <c r="AV241" s="54">
        <v>0</v>
      </c>
      <c r="AW241" s="54">
        <v>0</v>
      </c>
      <c r="AX241" s="54">
        <v>1</v>
      </c>
      <c r="AY241" s="54">
        <v>1</v>
      </c>
      <c r="AZ241" s="46">
        <f t="shared" si="46"/>
        <v>9</v>
      </c>
      <c r="BA241" s="46"/>
      <c r="BB241" s="54">
        <v>0</v>
      </c>
      <c r="BC241" s="54">
        <v>0</v>
      </c>
      <c r="BD241" s="54">
        <v>0</v>
      </c>
      <c r="BE241" s="54">
        <v>0</v>
      </c>
      <c r="BF241" s="54">
        <v>0</v>
      </c>
      <c r="BG241" s="54">
        <v>0</v>
      </c>
      <c r="BH241" s="54">
        <v>0</v>
      </c>
      <c r="BI241" s="54">
        <v>0</v>
      </c>
      <c r="BJ241" s="46">
        <f t="shared" si="47"/>
        <v>0</v>
      </c>
      <c r="BK241" s="50"/>
      <c r="BL241" s="56">
        <v>0</v>
      </c>
      <c r="BM241" s="56">
        <v>0</v>
      </c>
      <c r="BN241" s="56">
        <v>0</v>
      </c>
      <c r="BO241" s="56">
        <v>0</v>
      </c>
      <c r="BP241" s="56">
        <v>0</v>
      </c>
      <c r="BQ241" s="56">
        <v>0</v>
      </c>
      <c r="BR241" s="54">
        <v>0</v>
      </c>
      <c r="BS241" s="47">
        <f t="shared" si="48"/>
        <v>0</v>
      </c>
      <c r="BT241" s="47"/>
      <c r="BU241" s="44">
        <f t="shared" si="49"/>
        <v>13</v>
      </c>
      <c r="BV241" s="44">
        <f t="shared" si="50"/>
        <v>9</v>
      </c>
      <c r="BW241" s="44">
        <f t="shared" si="51"/>
        <v>22</v>
      </c>
      <c r="BX241" s="44">
        <f t="shared" si="52"/>
        <v>0</v>
      </c>
      <c r="BY241" s="44">
        <f t="shared" si="53"/>
        <v>0</v>
      </c>
      <c r="BZ241" s="56"/>
      <c r="CA241" s="44">
        <f t="shared" si="54"/>
        <v>22</v>
      </c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  <c r="CS241" s="56"/>
      <c r="CT241" s="56"/>
      <c r="CU241" s="56"/>
      <c r="CV241" s="56"/>
    </row>
    <row r="242" spans="1:100" s="49" customFormat="1" ht="15.75" customHeight="1" x14ac:dyDescent="0.25">
      <c r="A242" s="40" t="s">
        <v>531</v>
      </c>
      <c r="B242" s="46" t="s">
        <v>87</v>
      </c>
      <c r="C242" s="62">
        <v>-33494037</v>
      </c>
      <c r="D242" s="50">
        <v>-70597500</v>
      </c>
      <c r="E242" s="54" t="s">
        <v>740</v>
      </c>
      <c r="F242" s="54">
        <v>-33495638</v>
      </c>
      <c r="G242" s="54">
        <v>-70599071</v>
      </c>
      <c r="H242" s="54" t="s">
        <v>96</v>
      </c>
      <c r="I242" s="54">
        <v>0</v>
      </c>
      <c r="J242" s="54">
        <v>0</v>
      </c>
      <c r="K242" s="54">
        <v>0</v>
      </c>
      <c r="L242" s="54">
        <v>1</v>
      </c>
      <c r="M242" s="54">
        <v>0</v>
      </c>
      <c r="N242" s="54">
        <v>0</v>
      </c>
      <c r="O242" s="54">
        <v>0</v>
      </c>
      <c r="P242" s="54">
        <v>0</v>
      </c>
      <c r="Q242" s="54">
        <v>0</v>
      </c>
      <c r="R242" s="54">
        <v>0</v>
      </c>
      <c r="S242" s="54">
        <v>0</v>
      </c>
      <c r="T242" s="54">
        <v>0</v>
      </c>
      <c r="U242" s="54">
        <v>0</v>
      </c>
      <c r="V242" s="54">
        <v>0</v>
      </c>
      <c r="W242" s="54">
        <v>0</v>
      </c>
      <c r="X242" s="54">
        <v>0</v>
      </c>
      <c r="Y242" s="54">
        <v>0</v>
      </c>
      <c r="Z242" s="54">
        <v>0</v>
      </c>
      <c r="AA242" s="54">
        <v>0</v>
      </c>
      <c r="AB242" s="54">
        <v>0</v>
      </c>
      <c r="AC242" s="54">
        <v>1</v>
      </c>
      <c r="AD242" s="54">
        <v>1</v>
      </c>
      <c r="AE242" s="54">
        <v>0</v>
      </c>
      <c r="AF242" s="54">
        <v>1</v>
      </c>
      <c r="AG242" s="54">
        <v>1</v>
      </c>
      <c r="AH242" s="54">
        <v>0</v>
      </c>
      <c r="AI242" s="54">
        <v>0</v>
      </c>
      <c r="AJ242" s="54">
        <v>0</v>
      </c>
      <c r="AK242" s="46">
        <f t="shared" si="45"/>
        <v>5</v>
      </c>
      <c r="AL242" s="46"/>
      <c r="AM242" s="54">
        <v>1</v>
      </c>
      <c r="AN242" s="54">
        <v>0</v>
      </c>
      <c r="AO242" s="54">
        <v>0</v>
      </c>
      <c r="AP242" s="54">
        <v>0</v>
      </c>
      <c r="AQ242" s="54">
        <v>0</v>
      </c>
      <c r="AR242" s="54">
        <v>0</v>
      </c>
      <c r="AS242" s="54">
        <v>0</v>
      </c>
      <c r="AT242" s="54">
        <v>0</v>
      </c>
      <c r="AU242" s="54">
        <v>0</v>
      </c>
      <c r="AV242" s="54">
        <v>0</v>
      </c>
      <c r="AW242" s="54">
        <v>1</v>
      </c>
      <c r="AX242" s="54">
        <v>1</v>
      </c>
      <c r="AY242" s="54">
        <v>0</v>
      </c>
      <c r="AZ242" s="46">
        <f t="shared" si="46"/>
        <v>3</v>
      </c>
      <c r="BA242" s="46"/>
      <c r="BB242" s="54">
        <v>0</v>
      </c>
      <c r="BC242" s="54">
        <v>0</v>
      </c>
      <c r="BD242" s="54">
        <v>0</v>
      </c>
      <c r="BE242" s="54">
        <v>0</v>
      </c>
      <c r="BF242" s="54">
        <v>0</v>
      </c>
      <c r="BG242" s="54">
        <v>0</v>
      </c>
      <c r="BH242" s="54">
        <v>0</v>
      </c>
      <c r="BI242" s="54">
        <v>0</v>
      </c>
      <c r="BJ242" s="46">
        <f t="shared" si="47"/>
        <v>0</v>
      </c>
      <c r="BK242" s="50"/>
      <c r="BL242" s="56">
        <v>0</v>
      </c>
      <c r="BM242" s="56">
        <v>0</v>
      </c>
      <c r="BN242" s="56">
        <v>0</v>
      </c>
      <c r="BO242" s="56">
        <v>0</v>
      </c>
      <c r="BP242" s="56">
        <v>0</v>
      </c>
      <c r="BQ242" s="56">
        <v>0</v>
      </c>
      <c r="BR242" s="54">
        <v>0</v>
      </c>
      <c r="BS242" s="47">
        <f t="shared" si="48"/>
        <v>0</v>
      </c>
      <c r="BT242" s="47"/>
      <c r="BU242" s="44">
        <f t="shared" si="49"/>
        <v>5</v>
      </c>
      <c r="BV242" s="44">
        <f t="shared" si="50"/>
        <v>3</v>
      </c>
      <c r="BW242" s="44">
        <f t="shared" si="51"/>
        <v>8</v>
      </c>
      <c r="BX242" s="44">
        <f t="shared" si="52"/>
        <v>0</v>
      </c>
      <c r="BY242" s="44">
        <f t="shared" si="53"/>
        <v>0</v>
      </c>
      <c r="BZ242" s="56"/>
      <c r="CA242" s="44">
        <f t="shared" si="54"/>
        <v>8</v>
      </c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56"/>
      <c r="CP242" s="56"/>
      <c r="CQ242" s="56"/>
      <c r="CR242" s="56"/>
      <c r="CS242" s="56"/>
      <c r="CT242" s="56"/>
      <c r="CU242" s="56"/>
      <c r="CV242" s="56"/>
    </row>
    <row r="243" spans="1:100" s="49" customFormat="1" ht="15.75" customHeight="1" x14ac:dyDescent="0.25">
      <c r="A243" s="40" t="s">
        <v>531</v>
      </c>
      <c r="B243" s="46" t="s">
        <v>87</v>
      </c>
      <c r="C243" s="62">
        <v>-33494037</v>
      </c>
      <c r="D243" s="50">
        <v>-70597500</v>
      </c>
      <c r="E243" s="54" t="s">
        <v>741</v>
      </c>
      <c r="F243" s="54">
        <v>-3349427</v>
      </c>
      <c r="G243" s="54">
        <v>-70599916</v>
      </c>
      <c r="H243" s="54" t="s">
        <v>742</v>
      </c>
      <c r="I243" s="54">
        <v>1</v>
      </c>
      <c r="J243" s="54">
        <v>0</v>
      </c>
      <c r="K243" s="54">
        <v>0</v>
      </c>
      <c r="L243" s="54">
        <v>1</v>
      </c>
      <c r="M243" s="54">
        <v>1</v>
      </c>
      <c r="N243" s="54">
        <v>1</v>
      </c>
      <c r="O243" s="54">
        <v>1</v>
      </c>
      <c r="P243" s="54">
        <v>0</v>
      </c>
      <c r="Q243" s="54">
        <v>1</v>
      </c>
      <c r="R243" s="54">
        <v>0</v>
      </c>
      <c r="S243" s="54">
        <v>1</v>
      </c>
      <c r="T243" s="54">
        <v>1</v>
      </c>
      <c r="U243" s="54">
        <v>1</v>
      </c>
      <c r="V243" s="54">
        <v>0</v>
      </c>
      <c r="W243" s="54">
        <v>1</v>
      </c>
      <c r="X243" s="54">
        <v>1</v>
      </c>
      <c r="Y243" s="54">
        <v>0</v>
      </c>
      <c r="Z243" s="54">
        <v>0</v>
      </c>
      <c r="AA243" s="54">
        <v>0</v>
      </c>
      <c r="AB243" s="54">
        <v>0</v>
      </c>
      <c r="AC243" s="54">
        <v>1</v>
      </c>
      <c r="AD243" s="54">
        <v>1</v>
      </c>
      <c r="AE243" s="54">
        <v>0</v>
      </c>
      <c r="AF243" s="54">
        <v>1</v>
      </c>
      <c r="AG243" s="54">
        <v>1</v>
      </c>
      <c r="AH243" s="54">
        <v>0</v>
      </c>
      <c r="AI243" s="54">
        <v>0</v>
      </c>
      <c r="AJ243" s="54">
        <v>0</v>
      </c>
      <c r="AK243" s="46">
        <f t="shared" si="45"/>
        <v>15</v>
      </c>
      <c r="AL243" s="46"/>
      <c r="AM243" s="54">
        <v>1</v>
      </c>
      <c r="AN243" s="54">
        <v>1</v>
      </c>
      <c r="AO243" s="54">
        <v>1</v>
      </c>
      <c r="AP243" s="54">
        <v>1</v>
      </c>
      <c r="AQ243" s="54">
        <v>1</v>
      </c>
      <c r="AR243" s="54">
        <v>1</v>
      </c>
      <c r="AS243" s="54">
        <v>1</v>
      </c>
      <c r="AT243" s="54">
        <v>1</v>
      </c>
      <c r="AU243" s="54">
        <v>1</v>
      </c>
      <c r="AV243" s="54">
        <v>0</v>
      </c>
      <c r="AW243" s="54">
        <v>1</v>
      </c>
      <c r="AX243" s="54">
        <v>1</v>
      </c>
      <c r="AY243" s="54">
        <v>0</v>
      </c>
      <c r="AZ243" s="46">
        <f t="shared" si="46"/>
        <v>11</v>
      </c>
      <c r="BA243" s="46"/>
      <c r="BB243" s="54">
        <v>0</v>
      </c>
      <c r="BC243" s="54">
        <v>0</v>
      </c>
      <c r="BD243" s="54">
        <v>0</v>
      </c>
      <c r="BE243" s="54">
        <v>0</v>
      </c>
      <c r="BF243" s="54">
        <v>0</v>
      </c>
      <c r="BG243" s="54">
        <v>0</v>
      </c>
      <c r="BH243" s="54">
        <v>0</v>
      </c>
      <c r="BI243" s="54">
        <v>0</v>
      </c>
      <c r="BJ243" s="46">
        <f t="shared" si="47"/>
        <v>0</v>
      </c>
      <c r="BK243" s="50"/>
      <c r="BL243" s="56">
        <v>0</v>
      </c>
      <c r="BM243" s="56">
        <v>0</v>
      </c>
      <c r="BN243" s="56">
        <v>0</v>
      </c>
      <c r="BO243" s="56">
        <v>0</v>
      </c>
      <c r="BP243" s="56">
        <v>0</v>
      </c>
      <c r="BQ243" s="56">
        <v>0</v>
      </c>
      <c r="BR243" s="54">
        <v>0</v>
      </c>
      <c r="BS243" s="47">
        <f t="shared" si="48"/>
        <v>0</v>
      </c>
      <c r="BT243" s="47"/>
      <c r="BU243" s="44">
        <f t="shared" si="49"/>
        <v>15</v>
      </c>
      <c r="BV243" s="44">
        <f t="shared" si="50"/>
        <v>11</v>
      </c>
      <c r="BW243" s="44">
        <f t="shared" si="51"/>
        <v>26</v>
      </c>
      <c r="BX243" s="44">
        <f t="shared" si="52"/>
        <v>0</v>
      </c>
      <c r="BY243" s="44">
        <f t="shared" si="53"/>
        <v>0</v>
      </c>
      <c r="BZ243" s="56"/>
      <c r="CA243" s="44">
        <f t="shared" si="54"/>
        <v>26</v>
      </c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  <c r="CS243" s="56"/>
      <c r="CT243" s="56"/>
      <c r="CU243" s="56"/>
      <c r="CV243" s="56"/>
    </row>
    <row r="244" spans="1:100" s="49" customFormat="1" ht="15.75" customHeight="1" x14ac:dyDescent="0.25">
      <c r="A244" s="40" t="s">
        <v>531</v>
      </c>
      <c r="B244" s="46" t="s">
        <v>87</v>
      </c>
      <c r="C244" s="62">
        <v>-33494037</v>
      </c>
      <c r="D244" s="50">
        <v>-70597500</v>
      </c>
      <c r="E244" s="54" t="s">
        <v>743</v>
      </c>
      <c r="F244" s="54">
        <v>-33493169</v>
      </c>
      <c r="G244" s="54">
        <v>-70599914</v>
      </c>
      <c r="H244" s="54" t="s">
        <v>744</v>
      </c>
      <c r="I244" s="54">
        <v>1</v>
      </c>
      <c r="J244" s="54">
        <v>0</v>
      </c>
      <c r="K244" s="54">
        <v>0</v>
      </c>
      <c r="L244" s="54">
        <v>1</v>
      </c>
      <c r="M244" s="54">
        <v>1</v>
      </c>
      <c r="N244" s="54">
        <v>0</v>
      </c>
      <c r="O244" s="54">
        <v>0</v>
      </c>
      <c r="P244" s="54">
        <v>0</v>
      </c>
      <c r="Q244" s="54">
        <v>0</v>
      </c>
      <c r="R244" s="54">
        <v>0</v>
      </c>
      <c r="S244" s="54">
        <v>0</v>
      </c>
      <c r="T244" s="54">
        <v>0</v>
      </c>
      <c r="U244" s="54">
        <v>0</v>
      </c>
      <c r="V244" s="54">
        <v>1</v>
      </c>
      <c r="W244" s="54">
        <v>1</v>
      </c>
      <c r="X244" s="54">
        <v>0</v>
      </c>
      <c r="Y244" s="54">
        <v>0</v>
      </c>
      <c r="Z244" s="54">
        <v>0</v>
      </c>
      <c r="AA244" s="54">
        <v>0</v>
      </c>
      <c r="AB244" s="54">
        <v>0</v>
      </c>
      <c r="AC244" s="54">
        <v>1</v>
      </c>
      <c r="AD244" s="54">
        <v>0</v>
      </c>
      <c r="AE244" s="54">
        <v>0</v>
      </c>
      <c r="AF244" s="54">
        <v>0</v>
      </c>
      <c r="AG244" s="54">
        <v>1</v>
      </c>
      <c r="AH244" s="54">
        <v>0</v>
      </c>
      <c r="AI244" s="54">
        <v>0</v>
      </c>
      <c r="AJ244" s="54">
        <v>0</v>
      </c>
      <c r="AK244" s="46">
        <f t="shared" si="45"/>
        <v>7</v>
      </c>
      <c r="AL244" s="46"/>
      <c r="AM244" s="54">
        <v>0</v>
      </c>
      <c r="AN244" s="54">
        <v>0</v>
      </c>
      <c r="AO244" s="54">
        <v>0</v>
      </c>
      <c r="AP244" s="54">
        <v>0</v>
      </c>
      <c r="AQ244" s="54">
        <v>0</v>
      </c>
      <c r="AR244" s="54">
        <v>0</v>
      </c>
      <c r="AS244" s="54">
        <v>0</v>
      </c>
      <c r="AT244" s="54">
        <v>0</v>
      </c>
      <c r="AU244" s="54">
        <v>0</v>
      </c>
      <c r="AV244" s="54">
        <v>0</v>
      </c>
      <c r="AW244" s="54">
        <v>1</v>
      </c>
      <c r="AX244" s="54">
        <v>1</v>
      </c>
      <c r="AY244" s="54">
        <v>0</v>
      </c>
      <c r="AZ244" s="46">
        <f t="shared" si="46"/>
        <v>2</v>
      </c>
      <c r="BA244" s="46"/>
      <c r="BB244" s="54">
        <v>0</v>
      </c>
      <c r="BC244" s="54">
        <v>0</v>
      </c>
      <c r="BD244" s="54">
        <v>0</v>
      </c>
      <c r="BE244" s="54">
        <v>0</v>
      </c>
      <c r="BF244" s="54">
        <v>0</v>
      </c>
      <c r="BG244" s="54">
        <v>0</v>
      </c>
      <c r="BH244" s="54">
        <v>0</v>
      </c>
      <c r="BI244" s="54">
        <v>0</v>
      </c>
      <c r="BJ244" s="46">
        <f t="shared" si="47"/>
        <v>0</v>
      </c>
      <c r="BK244" s="50"/>
      <c r="BL244" s="56">
        <v>0</v>
      </c>
      <c r="BM244" s="56">
        <v>0</v>
      </c>
      <c r="BN244" s="56">
        <v>0</v>
      </c>
      <c r="BO244" s="56">
        <v>0</v>
      </c>
      <c r="BP244" s="56">
        <v>0</v>
      </c>
      <c r="BQ244" s="56">
        <v>0</v>
      </c>
      <c r="BR244" s="54">
        <v>0</v>
      </c>
      <c r="BS244" s="47">
        <f t="shared" si="48"/>
        <v>0</v>
      </c>
      <c r="BT244" s="47"/>
      <c r="BU244" s="44">
        <f t="shared" si="49"/>
        <v>7</v>
      </c>
      <c r="BV244" s="44">
        <f t="shared" si="50"/>
        <v>2</v>
      </c>
      <c r="BW244" s="44">
        <f t="shared" si="51"/>
        <v>9</v>
      </c>
      <c r="BX244" s="44">
        <f t="shared" si="52"/>
        <v>0</v>
      </c>
      <c r="BY244" s="44">
        <f t="shared" si="53"/>
        <v>0</v>
      </c>
      <c r="BZ244" s="56"/>
      <c r="CA244" s="44">
        <f t="shared" si="54"/>
        <v>9</v>
      </c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6"/>
      <c r="CV244" s="56"/>
    </row>
    <row r="245" spans="1:100" s="49" customFormat="1" ht="15.75" customHeight="1" x14ac:dyDescent="0.25">
      <c r="A245" s="40" t="s">
        <v>531</v>
      </c>
      <c r="B245" s="46" t="s">
        <v>87</v>
      </c>
      <c r="C245" s="62">
        <v>-33494037</v>
      </c>
      <c r="D245" s="50">
        <v>-70597500</v>
      </c>
      <c r="E245" s="54" t="s">
        <v>745</v>
      </c>
      <c r="F245" s="54">
        <v>-33492821</v>
      </c>
      <c r="G245" s="54">
        <v>-7059973</v>
      </c>
      <c r="H245" s="54" t="s">
        <v>746</v>
      </c>
      <c r="I245" s="54">
        <v>0</v>
      </c>
      <c r="J245" s="54">
        <v>0</v>
      </c>
      <c r="K245" s="54">
        <v>0</v>
      </c>
      <c r="L245" s="54">
        <v>0</v>
      </c>
      <c r="M245" s="54">
        <v>0</v>
      </c>
      <c r="N245" s="54">
        <v>0</v>
      </c>
      <c r="O245" s="54">
        <v>0</v>
      </c>
      <c r="P245" s="54">
        <v>0</v>
      </c>
      <c r="Q245" s="54">
        <v>0</v>
      </c>
      <c r="R245" s="54">
        <v>0</v>
      </c>
      <c r="S245" s="54">
        <v>0</v>
      </c>
      <c r="T245" s="54">
        <v>0</v>
      </c>
      <c r="U245" s="54">
        <v>0</v>
      </c>
      <c r="V245" s="54">
        <v>0</v>
      </c>
      <c r="W245" s="54">
        <v>0</v>
      </c>
      <c r="X245" s="54">
        <v>0</v>
      </c>
      <c r="Y245" s="54">
        <v>0</v>
      </c>
      <c r="Z245" s="54">
        <v>0</v>
      </c>
      <c r="AA245" s="54">
        <v>0</v>
      </c>
      <c r="AB245" s="54">
        <v>0</v>
      </c>
      <c r="AC245" s="54">
        <v>1</v>
      </c>
      <c r="AD245" s="54">
        <v>0</v>
      </c>
      <c r="AE245" s="54">
        <v>0</v>
      </c>
      <c r="AF245" s="54">
        <v>0</v>
      </c>
      <c r="AG245" s="54">
        <v>0</v>
      </c>
      <c r="AH245" s="54">
        <v>0</v>
      </c>
      <c r="AI245" s="54">
        <v>0</v>
      </c>
      <c r="AJ245" s="54">
        <v>0</v>
      </c>
      <c r="AK245" s="46">
        <f t="shared" si="45"/>
        <v>1</v>
      </c>
      <c r="AL245" s="46"/>
      <c r="AM245" s="54">
        <v>0</v>
      </c>
      <c r="AN245" s="54">
        <v>0</v>
      </c>
      <c r="AO245" s="54">
        <v>0</v>
      </c>
      <c r="AP245" s="54">
        <v>0</v>
      </c>
      <c r="AQ245" s="54">
        <v>0</v>
      </c>
      <c r="AR245" s="54">
        <v>0</v>
      </c>
      <c r="AS245" s="54">
        <v>0</v>
      </c>
      <c r="AT245" s="54">
        <v>1</v>
      </c>
      <c r="AU245" s="54">
        <v>1</v>
      </c>
      <c r="AV245" s="54">
        <v>0</v>
      </c>
      <c r="AW245" s="54">
        <v>1</v>
      </c>
      <c r="AX245" s="54">
        <v>0</v>
      </c>
      <c r="AY245" s="54">
        <v>1</v>
      </c>
      <c r="AZ245" s="46">
        <f t="shared" si="46"/>
        <v>4</v>
      </c>
      <c r="BA245" s="46"/>
      <c r="BB245" s="54">
        <v>0</v>
      </c>
      <c r="BC245" s="54">
        <v>0</v>
      </c>
      <c r="BD245" s="54">
        <v>0</v>
      </c>
      <c r="BE245" s="54">
        <v>0</v>
      </c>
      <c r="BF245" s="54">
        <v>0</v>
      </c>
      <c r="BG245" s="54">
        <v>0</v>
      </c>
      <c r="BH245" s="54">
        <v>0</v>
      </c>
      <c r="BI245" s="54">
        <v>0</v>
      </c>
      <c r="BJ245" s="46">
        <f t="shared" si="47"/>
        <v>0</v>
      </c>
      <c r="BK245" s="50"/>
      <c r="BL245" s="56">
        <v>0</v>
      </c>
      <c r="BM245" s="56">
        <v>0</v>
      </c>
      <c r="BN245" s="56">
        <v>0</v>
      </c>
      <c r="BO245" s="56">
        <v>0</v>
      </c>
      <c r="BP245" s="56">
        <v>0</v>
      </c>
      <c r="BQ245" s="56">
        <v>0</v>
      </c>
      <c r="BR245" s="54">
        <v>0</v>
      </c>
      <c r="BS245" s="47">
        <f t="shared" si="48"/>
        <v>0</v>
      </c>
      <c r="BT245" s="47"/>
      <c r="BU245" s="44">
        <f t="shared" si="49"/>
        <v>1</v>
      </c>
      <c r="BV245" s="44">
        <f t="shared" si="50"/>
        <v>4</v>
      </c>
      <c r="BW245" s="44">
        <f t="shared" si="51"/>
        <v>5</v>
      </c>
      <c r="BX245" s="44">
        <f t="shared" si="52"/>
        <v>0</v>
      </c>
      <c r="BY245" s="44">
        <f t="shared" si="53"/>
        <v>0</v>
      </c>
      <c r="BZ245" s="56"/>
      <c r="CA245" s="44">
        <f t="shared" si="54"/>
        <v>5</v>
      </c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6"/>
      <c r="CV245" s="56"/>
    </row>
    <row r="246" spans="1:100" s="49" customFormat="1" ht="15.75" customHeight="1" x14ac:dyDescent="0.25">
      <c r="A246" s="40" t="s">
        <v>531</v>
      </c>
      <c r="B246" s="46" t="s">
        <v>87</v>
      </c>
      <c r="C246" s="62">
        <v>-33494037</v>
      </c>
      <c r="D246" s="50">
        <v>-70597500</v>
      </c>
      <c r="E246" s="54" t="s">
        <v>747</v>
      </c>
      <c r="F246" s="54">
        <v>-33492821</v>
      </c>
      <c r="G246" s="54">
        <v>-7059973</v>
      </c>
      <c r="H246" s="54" t="s">
        <v>748</v>
      </c>
      <c r="I246" s="54">
        <v>0</v>
      </c>
      <c r="J246" s="54">
        <v>0</v>
      </c>
      <c r="K246" s="54">
        <v>0</v>
      </c>
      <c r="L246" s="54">
        <v>0</v>
      </c>
      <c r="M246" s="54">
        <v>0</v>
      </c>
      <c r="N246" s="54">
        <v>1</v>
      </c>
      <c r="O246" s="54">
        <v>0</v>
      </c>
      <c r="P246" s="54">
        <v>0</v>
      </c>
      <c r="Q246" s="54">
        <v>0</v>
      </c>
      <c r="R246" s="54">
        <v>0</v>
      </c>
      <c r="S246" s="54">
        <v>1</v>
      </c>
      <c r="T246" s="54">
        <v>0</v>
      </c>
      <c r="U246" s="54">
        <v>0</v>
      </c>
      <c r="V246" s="54">
        <v>0</v>
      </c>
      <c r="W246" s="54">
        <v>0</v>
      </c>
      <c r="X246" s="54">
        <v>0</v>
      </c>
      <c r="Y246" s="54">
        <v>0</v>
      </c>
      <c r="Z246" s="54">
        <v>0</v>
      </c>
      <c r="AA246" s="54">
        <v>0</v>
      </c>
      <c r="AB246" s="54">
        <v>0</v>
      </c>
      <c r="AC246" s="54">
        <v>1</v>
      </c>
      <c r="AD246" s="54">
        <v>0</v>
      </c>
      <c r="AE246" s="54">
        <v>0</v>
      </c>
      <c r="AF246" s="54">
        <v>1</v>
      </c>
      <c r="AG246" s="54">
        <v>1</v>
      </c>
      <c r="AH246" s="54">
        <v>0</v>
      </c>
      <c r="AI246" s="54">
        <v>0</v>
      </c>
      <c r="AJ246" s="54">
        <v>0</v>
      </c>
      <c r="AK246" s="46">
        <f t="shared" si="45"/>
        <v>5</v>
      </c>
      <c r="AL246" s="46"/>
      <c r="AM246" s="54">
        <v>0</v>
      </c>
      <c r="AN246" s="54">
        <v>1</v>
      </c>
      <c r="AO246" s="54">
        <v>1</v>
      </c>
      <c r="AP246" s="54">
        <v>1</v>
      </c>
      <c r="AQ246" s="54">
        <v>0</v>
      </c>
      <c r="AR246" s="54">
        <v>0</v>
      </c>
      <c r="AS246" s="54">
        <v>0</v>
      </c>
      <c r="AT246" s="54">
        <v>1</v>
      </c>
      <c r="AU246" s="54">
        <v>1</v>
      </c>
      <c r="AV246" s="54">
        <v>0</v>
      </c>
      <c r="AW246" s="54">
        <v>1</v>
      </c>
      <c r="AX246" s="54">
        <v>0</v>
      </c>
      <c r="AY246" s="54">
        <v>1</v>
      </c>
      <c r="AZ246" s="46">
        <f t="shared" si="46"/>
        <v>7</v>
      </c>
      <c r="BA246" s="46"/>
      <c r="BB246" s="54">
        <v>0</v>
      </c>
      <c r="BC246" s="54">
        <v>0</v>
      </c>
      <c r="BD246" s="54">
        <v>0</v>
      </c>
      <c r="BE246" s="54">
        <v>0</v>
      </c>
      <c r="BF246" s="54">
        <v>0</v>
      </c>
      <c r="BG246" s="54">
        <v>0</v>
      </c>
      <c r="BH246" s="54">
        <v>0</v>
      </c>
      <c r="BI246" s="54">
        <v>0</v>
      </c>
      <c r="BJ246" s="46">
        <f t="shared" si="47"/>
        <v>0</v>
      </c>
      <c r="BK246" s="50"/>
      <c r="BL246" s="56">
        <v>0</v>
      </c>
      <c r="BM246" s="56">
        <v>0</v>
      </c>
      <c r="BN246" s="56">
        <v>0</v>
      </c>
      <c r="BO246" s="56">
        <v>0</v>
      </c>
      <c r="BP246" s="56">
        <v>0</v>
      </c>
      <c r="BQ246" s="56">
        <v>0</v>
      </c>
      <c r="BR246" s="54">
        <v>0</v>
      </c>
      <c r="BS246" s="47">
        <f t="shared" si="48"/>
        <v>0</v>
      </c>
      <c r="BT246" s="47"/>
      <c r="BU246" s="44">
        <f t="shared" si="49"/>
        <v>5</v>
      </c>
      <c r="BV246" s="44">
        <f t="shared" si="50"/>
        <v>7</v>
      </c>
      <c r="BW246" s="44">
        <f t="shared" si="51"/>
        <v>12</v>
      </c>
      <c r="BX246" s="44">
        <f t="shared" si="52"/>
        <v>0</v>
      </c>
      <c r="BY246" s="44">
        <f t="shared" si="53"/>
        <v>0</v>
      </c>
      <c r="BZ246" s="56"/>
      <c r="CA246" s="44">
        <f t="shared" si="54"/>
        <v>12</v>
      </c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  <c r="CS246" s="56"/>
      <c r="CT246" s="56"/>
      <c r="CU246" s="56"/>
      <c r="CV246" s="56"/>
    </row>
    <row r="247" spans="1:100" s="49" customFormat="1" ht="15.75" customHeight="1" x14ac:dyDescent="0.25">
      <c r="A247" s="40" t="s">
        <v>531</v>
      </c>
      <c r="B247" s="46" t="s">
        <v>87</v>
      </c>
      <c r="C247" s="62">
        <v>-33494037</v>
      </c>
      <c r="D247" s="50">
        <v>-70597500</v>
      </c>
      <c r="E247" s="54" t="s">
        <v>749</v>
      </c>
      <c r="F247" s="54">
        <v>-33492821</v>
      </c>
      <c r="G247" s="54">
        <v>-7059973</v>
      </c>
      <c r="H247" s="54" t="s">
        <v>750</v>
      </c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46">
        <f t="shared" si="45"/>
        <v>0</v>
      </c>
      <c r="AL247" s="46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46">
        <f t="shared" si="46"/>
        <v>0</v>
      </c>
      <c r="BA247" s="46"/>
      <c r="BB247" s="54"/>
      <c r="BC247" s="54"/>
      <c r="BD247" s="54"/>
      <c r="BE247" s="54"/>
      <c r="BF247" s="54"/>
      <c r="BG247" s="54"/>
      <c r="BH247" s="54"/>
      <c r="BI247" s="54"/>
      <c r="BJ247" s="46">
        <f t="shared" si="47"/>
        <v>0</v>
      </c>
      <c r="BK247" s="50"/>
      <c r="BL247" s="56"/>
      <c r="BM247" s="56"/>
      <c r="BN247" s="56"/>
      <c r="BO247" s="56"/>
      <c r="BP247" s="56"/>
      <c r="BQ247" s="56"/>
      <c r="BR247" s="54"/>
      <c r="BS247" s="47">
        <f t="shared" si="48"/>
        <v>0</v>
      </c>
      <c r="BT247" s="47"/>
      <c r="BU247" s="44">
        <f t="shared" si="49"/>
        <v>0</v>
      </c>
      <c r="BV247" s="44">
        <f t="shared" si="50"/>
        <v>0</v>
      </c>
      <c r="BW247" s="44">
        <f t="shared" si="51"/>
        <v>0</v>
      </c>
      <c r="BX247" s="44">
        <f t="shared" si="52"/>
        <v>0</v>
      </c>
      <c r="BY247" s="44">
        <f t="shared" si="53"/>
        <v>0</v>
      </c>
      <c r="BZ247" s="56"/>
      <c r="CA247" s="44">
        <f t="shared" si="54"/>
        <v>0</v>
      </c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6"/>
      <c r="CV247" s="56"/>
    </row>
    <row r="248" spans="1:100" s="49" customFormat="1" ht="15.75" customHeight="1" x14ac:dyDescent="0.25">
      <c r="A248" s="40" t="s">
        <v>531</v>
      </c>
      <c r="B248" s="46" t="s">
        <v>87</v>
      </c>
      <c r="C248" s="62">
        <v>-33494037</v>
      </c>
      <c r="D248" s="50">
        <v>-70597500</v>
      </c>
      <c r="E248" s="54" t="s">
        <v>751</v>
      </c>
      <c r="F248" s="54">
        <v>-33492646</v>
      </c>
      <c r="G248" s="54">
        <v>-70599812</v>
      </c>
      <c r="H248" s="54" t="s">
        <v>752</v>
      </c>
      <c r="I248" s="54">
        <v>0</v>
      </c>
      <c r="J248" s="54">
        <v>0</v>
      </c>
      <c r="K248" s="54">
        <v>0</v>
      </c>
      <c r="L248" s="54">
        <v>1</v>
      </c>
      <c r="M248" s="54">
        <v>1</v>
      </c>
      <c r="N248" s="54">
        <v>1</v>
      </c>
      <c r="O248" s="54">
        <v>1</v>
      </c>
      <c r="P248" s="54">
        <v>0</v>
      </c>
      <c r="Q248" s="54">
        <v>1</v>
      </c>
      <c r="R248" s="54">
        <v>1</v>
      </c>
      <c r="S248" s="54">
        <v>1</v>
      </c>
      <c r="T248" s="54">
        <v>1</v>
      </c>
      <c r="U248" s="54">
        <v>1</v>
      </c>
      <c r="V248" s="54">
        <v>0</v>
      </c>
      <c r="W248" s="54">
        <v>0</v>
      </c>
      <c r="X248" s="54">
        <v>1</v>
      </c>
      <c r="Y248" s="54">
        <v>0</v>
      </c>
      <c r="Z248" s="54">
        <v>0</v>
      </c>
      <c r="AA248" s="54">
        <v>0</v>
      </c>
      <c r="AB248" s="54">
        <v>0</v>
      </c>
      <c r="AC248" s="54">
        <v>1</v>
      </c>
      <c r="AD248" s="54">
        <v>0</v>
      </c>
      <c r="AE248" s="54">
        <v>0</v>
      </c>
      <c r="AF248" s="54">
        <v>1</v>
      </c>
      <c r="AG248" s="54">
        <v>1</v>
      </c>
      <c r="AH248" s="54">
        <v>1</v>
      </c>
      <c r="AI248" s="54">
        <v>0</v>
      </c>
      <c r="AJ248" s="54">
        <v>0</v>
      </c>
      <c r="AK248" s="46">
        <f t="shared" si="45"/>
        <v>14</v>
      </c>
      <c r="AL248" s="46"/>
      <c r="AM248" s="54">
        <v>1</v>
      </c>
      <c r="AN248" s="54">
        <v>1</v>
      </c>
      <c r="AO248" s="54">
        <v>1</v>
      </c>
      <c r="AP248" s="54">
        <v>1</v>
      </c>
      <c r="AQ248" s="54">
        <v>1</v>
      </c>
      <c r="AR248" s="54">
        <v>0</v>
      </c>
      <c r="AS248" s="54">
        <v>1</v>
      </c>
      <c r="AT248" s="54">
        <v>1</v>
      </c>
      <c r="AU248" s="54">
        <v>0</v>
      </c>
      <c r="AV248" s="54">
        <v>0</v>
      </c>
      <c r="AW248" s="54">
        <v>1</v>
      </c>
      <c r="AX248" s="54">
        <v>0</v>
      </c>
      <c r="AY248" s="54">
        <v>1</v>
      </c>
      <c r="AZ248" s="46">
        <f t="shared" si="46"/>
        <v>9</v>
      </c>
      <c r="BA248" s="46"/>
      <c r="BB248" s="54">
        <v>0</v>
      </c>
      <c r="BC248" s="54">
        <v>0</v>
      </c>
      <c r="BD248" s="54">
        <v>0</v>
      </c>
      <c r="BE248" s="54">
        <v>0</v>
      </c>
      <c r="BF248" s="54">
        <v>0</v>
      </c>
      <c r="BG248" s="54">
        <v>0</v>
      </c>
      <c r="BH248" s="54">
        <v>0</v>
      </c>
      <c r="BI248" s="54">
        <v>0</v>
      </c>
      <c r="BJ248" s="46">
        <f t="shared" si="47"/>
        <v>0</v>
      </c>
      <c r="BK248" s="50"/>
      <c r="BL248" s="56">
        <v>0</v>
      </c>
      <c r="BM248" s="56">
        <v>0</v>
      </c>
      <c r="BN248" s="56">
        <v>0</v>
      </c>
      <c r="BO248" s="56">
        <v>0</v>
      </c>
      <c r="BP248" s="56">
        <v>0</v>
      </c>
      <c r="BQ248" s="56">
        <v>0</v>
      </c>
      <c r="BR248" s="54">
        <v>0</v>
      </c>
      <c r="BS248" s="47">
        <f t="shared" si="48"/>
        <v>0</v>
      </c>
      <c r="BT248" s="47"/>
      <c r="BU248" s="44">
        <f t="shared" si="49"/>
        <v>14</v>
      </c>
      <c r="BV248" s="44">
        <f t="shared" si="50"/>
        <v>9</v>
      </c>
      <c r="BW248" s="44">
        <f t="shared" si="51"/>
        <v>23</v>
      </c>
      <c r="BX248" s="44">
        <f t="shared" si="52"/>
        <v>0</v>
      </c>
      <c r="BY248" s="44">
        <f t="shared" si="53"/>
        <v>0</v>
      </c>
      <c r="BZ248" s="56"/>
      <c r="CA248" s="44">
        <f t="shared" si="54"/>
        <v>23</v>
      </c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6"/>
      <c r="CV248" s="56"/>
    </row>
    <row r="249" spans="1:100" s="49" customFormat="1" ht="15.75" customHeight="1" x14ac:dyDescent="0.25">
      <c r="A249" s="40" t="s">
        <v>531</v>
      </c>
      <c r="B249" s="46" t="s">
        <v>87</v>
      </c>
      <c r="C249" s="62">
        <v>-33494037</v>
      </c>
      <c r="D249" s="50">
        <v>-70597500</v>
      </c>
      <c r="E249" s="54" t="s">
        <v>753</v>
      </c>
      <c r="F249" s="54">
        <v>-33492646</v>
      </c>
      <c r="G249" s="54">
        <v>-70599812</v>
      </c>
      <c r="H249" s="54" t="s">
        <v>754</v>
      </c>
      <c r="I249" s="54">
        <v>0</v>
      </c>
      <c r="J249" s="54">
        <v>0</v>
      </c>
      <c r="K249" s="54">
        <v>0</v>
      </c>
      <c r="L249" s="54">
        <v>0</v>
      </c>
      <c r="M249" s="54">
        <v>1</v>
      </c>
      <c r="N249" s="54">
        <v>1</v>
      </c>
      <c r="O249" s="54">
        <v>1</v>
      </c>
      <c r="P249" s="54">
        <v>0</v>
      </c>
      <c r="Q249" s="54">
        <v>1</v>
      </c>
      <c r="R249" s="54">
        <v>0</v>
      </c>
      <c r="S249" s="54">
        <v>1</v>
      </c>
      <c r="T249" s="54">
        <v>1</v>
      </c>
      <c r="U249" s="54">
        <v>1</v>
      </c>
      <c r="V249" s="54">
        <v>0</v>
      </c>
      <c r="W249" s="54">
        <v>1</v>
      </c>
      <c r="X249" s="54">
        <v>1</v>
      </c>
      <c r="Y249" s="54">
        <v>0</v>
      </c>
      <c r="Z249" s="54">
        <v>0</v>
      </c>
      <c r="AA249" s="54">
        <v>0</v>
      </c>
      <c r="AB249" s="54">
        <v>0</v>
      </c>
      <c r="AC249" s="54">
        <v>1</v>
      </c>
      <c r="AD249" s="54">
        <v>1</v>
      </c>
      <c r="AE249" s="54">
        <v>0</v>
      </c>
      <c r="AF249" s="54">
        <v>1</v>
      </c>
      <c r="AG249" s="54">
        <v>1</v>
      </c>
      <c r="AH249" s="54">
        <v>1</v>
      </c>
      <c r="AI249" s="54">
        <v>0</v>
      </c>
      <c r="AJ249" s="54">
        <v>0</v>
      </c>
      <c r="AK249" s="46">
        <f t="shared" si="45"/>
        <v>14</v>
      </c>
      <c r="AL249" s="46"/>
      <c r="AM249" s="54">
        <v>0</v>
      </c>
      <c r="AN249" s="54">
        <v>0</v>
      </c>
      <c r="AO249" s="54">
        <v>1</v>
      </c>
      <c r="AP249" s="54">
        <v>0</v>
      </c>
      <c r="AQ249" s="54">
        <v>1</v>
      </c>
      <c r="AR249" s="54">
        <v>0</v>
      </c>
      <c r="AS249" s="54">
        <v>0</v>
      </c>
      <c r="AT249" s="54">
        <v>0</v>
      </c>
      <c r="AU249" s="54">
        <v>0</v>
      </c>
      <c r="AV249" s="54">
        <v>0</v>
      </c>
      <c r="AW249" s="54">
        <v>1</v>
      </c>
      <c r="AX249" s="54">
        <v>1</v>
      </c>
      <c r="AY249" s="54">
        <v>0</v>
      </c>
      <c r="AZ249" s="46">
        <f t="shared" si="46"/>
        <v>4</v>
      </c>
      <c r="BA249" s="46"/>
      <c r="BB249" s="54">
        <v>0</v>
      </c>
      <c r="BC249" s="54">
        <v>0</v>
      </c>
      <c r="BD249" s="54">
        <v>0</v>
      </c>
      <c r="BE249" s="54">
        <v>0</v>
      </c>
      <c r="BF249" s="54">
        <v>0</v>
      </c>
      <c r="BG249" s="54">
        <v>1</v>
      </c>
      <c r="BH249" s="54">
        <v>0</v>
      </c>
      <c r="BI249" s="54">
        <v>0</v>
      </c>
      <c r="BJ249" s="46">
        <f t="shared" si="47"/>
        <v>1</v>
      </c>
      <c r="BK249" s="50"/>
      <c r="BL249" s="56">
        <v>0</v>
      </c>
      <c r="BM249" s="56">
        <v>0</v>
      </c>
      <c r="BN249" s="56">
        <v>0</v>
      </c>
      <c r="BO249" s="56">
        <v>0</v>
      </c>
      <c r="BP249" s="56">
        <v>0</v>
      </c>
      <c r="BQ249" s="56">
        <v>0</v>
      </c>
      <c r="BR249" s="54">
        <v>0</v>
      </c>
      <c r="BS249" s="47">
        <f t="shared" si="48"/>
        <v>0</v>
      </c>
      <c r="BT249" s="47"/>
      <c r="BU249" s="44">
        <f t="shared" si="49"/>
        <v>14</v>
      </c>
      <c r="BV249" s="44">
        <f t="shared" si="50"/>
        <v>4</v>
      </c>
      <c r="BW249" s="44">
        <f t="shared" si="51"/>
        <v>18</v>
      </c>
      <c r="BX249" s="44">
        <f t="shared" si="52"/>
        <v>1</v>
      </c>
      <c r="BY249" s="44">
        <f t="shared" si="53"/>
        <v>0</v>
      </c>
      <c r="BZ249" s="56"/>
      <c r="CA249" s="44">
        <f t="shared" si="54"/>
        <v>19</v>
      </c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6"/>
      <c r="CV249" s="56"/>
    </row>
    <row r="250" spans="1:100" s="49" customFormat="1" ht="15.75" customHeight="1" x14ac:dyDescent="0.25">
      <c r="A250" s="40" t="s">
        <v>531</v>
      </c>
      <c r="B250" s="46" t="s">
        <v>87</v>
      </c>
      <c r="C250" s="62">
        <v>-33494037</v>
      </c>
      <c r="D250" s="50">
        <v>-70597500</v>
      </c>
      <c r="E250" s="54" t="s">
        <v>755</v>
      </c>
      <c r="F250" s="54">
        <v>-33492449</v>
      </c>
      <c r="G250" s="54">
        <v>-7059985</v>
      </c>
      <c r="H250" s="54" t="s">
        <v>756</v>
      </c>
      <c r="I250" s="54">
        <v>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  <c r="O250" s="54">
        <v>0</v>
      </c>
      <c r="P250" s="54">
        <v>0</v>
      </c>
      <c r="Q250" s="54">
        <v>0</v>
      </c>
      <c r="R250" s="54">
        <v>0</v>
      </c>
      <c r="S250" s="54">
        <v>0</v>
      </c>
      <c r="T250" s="54">
        <v>0</v>
      </c>
      <c r="U250" s="54">
        <v>1</v>
      </c>
      <c r="V250" s="54">
        <v>0</v>
      </c>
      <c r="W250" s="54">
        <v>0</v>
      </c>
      <c r="X250" s="54">
        <v>0</v>
      </c>
      <c r="Y250" s="54">
        <v>0</v>
      </c>
      <c r="Z250" s="54">
        <v>0</v>
      </c>
      <c r="AA250" s="54">
        <v>0</v>
      </c>
      <c r="AB250" s="54">
        <v>0</v>
      </c>
      <c r="AC250" s="54">
        <v>0</v>
      </c>
      <c r="AD250" s="54">
        <v>0</v>
      </c>
      <c r="AE250" s="54">
        <v>0</v>
      </c>
      <c r="AF250" s="54">
        <v>0</v>
      </c>
      <c r="AG250" s="54">
        <v>0</v>
      </c>
      <c r="AH250" s="54">
        <v>0</v>
      </c>
      <c r="AI250" s="54">
        <v>0</v>
      </c>
      <c r="AJ250" s="54">
        <v>0</v>
      </c>
      <c r="AK250" s="46">
        <f t="shared" si="45"/>
        <v>1</v>
      </c>
      <c r="AL250" s="46"/>
      <c r="AM250" s="54">
        <v>0</v>
      </c>
      <c r="AN250" s="54">
        <v>0</v>
      </c>
      <c r="AO250" s="54">
        <v>0</v>
      </c>
      <c r="AP250" s="54">
        <v>0</v>
      </c>
      <c r="AQ250" s="54">
        <v>0</v>
      </c>
      <c r="AR250" s="54">
        <v>0</v>
      </c>
      <c r="AS250" s="54">
        <v>0</v>
      </c>
      <c r="AT250" s="54">
        <v>0</v>
      </c>
      <c r="AU250" s="54">
        <v>0</v>
      </c>
      <c r="AV250" s="54">
        <v>0</v>
      </c>
      <c r="AW250" s="54">
        <v>0</v>
      </c>
      <c r="AX250" s="54">
        <v>0</v>
      </c>
      <c r="AY250" s="54">
        <v>0</v>
      </c>
      <c r="AZ250" s="46">
        <f t="shared" si="46"/>
        <v>0</v>
      </c>
      <c r="BA250" s="46"/>
      <c r="BB250" s="54">
        <v>0</v>
      </c>
      <c r="BC250" s="54">
        <v>0</v>
      </c>
      <c r="BD250" s="54">
        <v>0</v>
      </c>
      <c r="BE250" s="54">
        <v>0</v>
      </c>
      <c r="BF250" s="54">
        <v>0</v>
      </c>
      <c r="BG250" s="54">
        <v>1</v>
      </c>
      <c r="BH250" s="54">
        <v>0</v>
      </c>
      <c r="BI250" s="54">
        <v>0</v>
      </c>
      <c r="BJ250" s="46">
        <f t="shared" si="47"/>
        <v>1</v>
      </c>
      <c r="BK250" s="50"/>
      <c r="BL250" s="56">
        <v>0</v>
      </c>
      <c r="BM250" s="56">
        <v>0</v>
      </c>
      <c r="BN250" s="56">
        <v>0</v>
      </c>
      <c r="BO250" s="56">
        <v>0</v>
      </c>
      <c r="BP250" s="56">
        <v>0</v>
      </c>
      <c r="BQ250" s="56">
        <v>0</v>
      </c>
      <c r="BR250" s="54">
        <v>0</v>
      </c>
      <c r="BS250" s="47">
        <f t="shared" si="48"/>
        <v>0</v>
      </c>
      <c r="BT250" s="47"/>
      <c r="BU250" s="44">
        <f t="shared" si="49"/>
        <v>1</v>
      </c>
      <c r="BV250" s="44">
        <f t="shared" si="50"/>
        <v>0</v>
      </c>
      <c r="BW250" s="44">
        <f t="shared" si="51"/>
        <v>1</v>
      </c>
      <c r="BX250" s="44">
        <f t="shared" si="52"/>
        <v>1</v>
      </c>
      <c r="BY250" s="44">
        <f t="shared" si="53"/>
        <v>0</v>
      </c>
      <c r="BZ250" s="56"/>
      <c r="CA250" s="44">
        <f t="shared" si="54"/>
        <v>2</v>
      </c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  <c r="CS250" s="56"/>
      <c r="CT250" s="56"/>
      <c r="CU250" s="56"/>
      <c r="CV250" s="56"/>
    </row>
    <row r="251" spans="1:100" s="49" customFormat="1" ht="15.75" customHeight="1" x14ac:dyDescent="0.25">
      <c r="A251" s="40" t="s">
        <v>531</v>
      </c>
      <c r="B251" s="46" t="s">
        <v>87</v>
      </c>
      <c r="C251" s="62">
        <v>-33494037</v>
      </c>
      <c r="D251" s="50">
        <v>-70597500</v>
      </c>
      <c r="E251" s="54" t="s">
        <v>757</v>
      </c>
      <c r="F251" s="54">
        <v>-33492449</v>
      </c>
      <c r="G251" s="54">
        <v>-7059985</v>
      </c>
      <c r="H251" s="54" t="s">
        <v>744</v>
      </c>
      <c r="I251" s="54">
        <v>1</v>
      </c>
      <c r="J251" s="54">
        <v>0</v>
      </c>
      <c r="K251" s="54">
        <v>0</v>
      </c>
      <c r="L251" s="54">
        <v>0</v>
      </c>
      <c r="M251" s="54">
        <v>1</v>
      </c>
      <c r="N251" s="54">
        <v>0</v>
      </c>
      <c r="O251" s="54">
        <v>0</v>
      </c>
      <c r="P251" s="54">
        <v>0</v>
      </c>
      <c r="Q251" s="54">
        <v>0</v>
      </c>
      <c r="R251" s="54">
        <v>0</v>
      </c>
      <c r="S251" s="54">
        <v>0</v>
      </c>
      <c r="T251" s="54">
        <v>0</v>
      </c>
      <c r="U251" s="54">
        <v>0</v>
      </c>
      <c r="V251" s="54">
        <v>0</v>
      </c>
      <c r="W251" s="54">
        <v>0</v>
      </c>
      <c r="X251" s="54">
        <v>0</v>
      </c>
      <c r="Y251" s="54">
        <v>0</v>
      </c>
      <c r="Z251" s="54">
        <v>0</v>
      </c>
      <c r="AA251" s="54">
        <v>0</v>
      </c>
      <c r="AB251" s="54">
        <v>0</v>
      </c>
      <c r="AC251" s="54">
        <v>0</v>
      </c>
      <c r="AD251" s="54">
        <v>0</v>
      </c>
      <c r="AE251" s="54">
        <v>0</v>
      </c>
      <c r="AF251" s="54">
        <v>0</v>
      </c>
      <c r="AG251" s="54">
        <v>0</v>
      </c>
      <c r="AH251" s="54">
        <v>0</v>
      </c>
      <c r="AI251" s="54">
        <v>0</v>
      </c>
      <c r="AJ251" s="54">
        <v>0</v>
      </c>
      <c r="AK251" s="46">
        <f t="shared" si="45"/>
        <v>2</v>
      </c>
      <c r="AL251" s="46"/>
      <c r="AM251" s="54">
        <v>0</v>
      </c>
      <c r="AN251" s="54">
        <v>0</v>
      </c>
      <c r="AO251" s="54">
        <v>0</v>
      </c>
      <c r="AP251" s="54">
        <v>0</v>
      </c>
      <c r="AQ251" s="54">
        <v>0</v>
      </c>
      <c r="AR251" s="54">
        <v>0</v>
      </c>
      <c r="AS251" s="54">
        <v>0</v>
      </c>
      <c r="AT251" s="54">
        <v>0</v>
      </c>
      <c r="AU251" s="54">
        <v>0</v>
      </c>
      <c r="AV251" s="54">
        <v>0</v>
      </c>
      <c r="AW251" s="54">
        <v>0</v>
      </c>
      <c r="AX251" s="54">
        <v>0</v>
      </c>
      <c r="AY251" s="54">
        <v>0</v>
      </c>
      <c r="AZ251" s="46">
        <f t="shared" si="46"/>
        <v>0</v>
      </c>
      <c r="BA251" s="46"/>
      <c r="BB251" s="54">
        <v>1</v>
      </c>
      <c r="BC251" s="54">
        <v>1</v>
      </c>
      <c r="BD251" s="54">
        <v>0</v>
      </c>
      <c r="BE251" s="54">
        <v>0</v>
      </c>
      <c r="BF251" s="54">
        <v>0</v>
      </c>
      <c r="BG251" s="54">
        <v>0</v>
      </c>
      <c r="BH251" s="54">
        <v>0</v>
      </c>
      <c r="BI251" s="54">
        <v>0</v>
      </c>
      <c r="BJ251" s="46">
        <f t="shared" si="47"/>
        <v>2</v>
      </c>
      <c r="BK251" s="50"/>
      <c r="BL251" s="56">
        <v>0</v>
      </c>
      <c r="BM251" s="56">
        <v>0</v>
      </c>
      <c r="BN251" s="56">
        <v>0</v>
      </c>
      <c r="BO251" s="56">
        <v>0</v>
      </c>
      <c r="BP251" s="56">
        <v>0</v>
      </c>
      <c r="BQ251" s="56">
        <v>0</v>
      </c>
      <c r="BR251" s="54">
        <v>0</v>
      </c>
      <c r="BS251" s="47">
        <f t="shared" si="48"/>
        <v>0</v>
      </c>
      <c r="BT251" s="47"/>
      <c r="BU251" s="44">
        <f t="shared" si="49"/>
        <v>2</v>
      </c>
      <c r="BV251" s="44">
        <f t="shared" si="50"/>
        <v>0</v>
      </c>
      <c r="BW251" s="44">
        <f t="shared" si="51"/>
        <v>2</v>
      </c>
      <c r="BX251" s="44">
        <f t="shared" si="52"/>
        <v>2</v>
      </c>
      <c r="BY251" s="44">
        <f t="shared" si="53"/>
        <v>0</v>
      </c>
      <c r="BZ251" s="56"/>
      <c r="CA251" s="44">
        <f t="shared" si="54"/>
        <v>4</v>
      </c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56"/>
      <c r="CP251" s="56"/>
      <c r="CQ251" s="56"/>
      <c r="CR251" s="56"/>
      <c r="CS251" s="56"/>
      <c r="CT251" s="56"/>
      <c r="CU251" s="56"/>
      <c r="CV251" s="56"/>
    </row>
    <row r="252" spans="1:100" s="49" customFormat="1" ht="15.75" customHeight="1" x14ac:dyDescent="0.25">
      <c r="A252" s="40" t="s">
        <v>531</v>
      </c>
      <c r="B252" s="46" t="s">
        <v>87</v>
      </c>
      <c r="C252" s="62">
        <v>-33494037</v>
      </c>
      <c r="D252" s="50">
        <v>-70597500</v>
      </c>
      <c r="E252" s="54" t="s">
        <v>758</v>
      </c>
      <c r="F252" s="54">
        <v>-33492449</v>
      </c>
      <c r="G252" s="54">
        <v>-7059985</v>
      </c>
      <c r="H252" s="54" t="s">
        <v>759</v>
      </c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46">
        <f t="shared" si="45"/>
        <v>0</v>
      </c>
      <c r="AL252" s="46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46">
        <f t="shared" si="46"/>
        <v>0</v>
      </c>
      <c r="BA252" s="46"/>
      <c r="BB252" s="54"/>
      <c r="BC252" s="54"/>
      <c r="BD252" s="54"/>
      <c r="BE252" s="54"/>
      <c r="BF252" s="54"/>
      <c r="BG252" s="54"/>
      <c r="BH252" s="54"/>
      <c r="BI252" s="54"/>
      <c r="BJ252" s="46">
        <f t="shared" si="47"/>
        <v>0</v>
      </c>
      <c r="BK252" s="50"/>
      <c r="BL252" s="56"/>
      <c r="BM252" s="56"/>
      <c r="BN252" s="56"/>
      <c r="BO252" s="56"/>
      <c r="BP252" s="56"/>
      <c r="BQ252" s="56"/>
      <c r="BR252" s="54"/>
      <c r="BS252" s="47">
        <f t="shared" si="48"/>
        <v>0</v>
      </c>
      <c r="BT252" s="47"/>
      <c r="BU252" s="44">
        <f t="shared" si="49"/>
        <v>0</v>
      </c>
      <c r="BV252" s="44">
        <f t="shared" si="50"/>
        <v>0</v>
      </c>
      <c r="BW252" s="44">
        <f t="shared" si="51"/>
        <v>0</v>
      </c>
      <c r="BX252" s="44">
        <f t="shared" si="52"/>
        <v>0</v>
      </c>
      <c r="BY252" s="44">
        <f t="shared" si="53"/>
        <v>0</v>
      </c>
      <c r="BZ252" s="56"/>
      <c r="CA252" s="44">
        <f t="shared" si="54"/>
        <v>0</v>
      </c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56"/>
      <c r="CP252" s="56"/>
      <c r="CQ252" s="56"/>
      <c r="CR252" s="56"/>
      <c r="CS252" s="56"/>
      <c r="CT252" s="56"/>
      <c r="CU252" s="56"/>
      <c r="CV252" s="56"/>
    </row>
    <row r="253" spans="1:100" s="49" customFormat="1" ht="15.75" customHeight="1" x14ac:dyDescent="0.25">
      <c r="A253" s="40" t="s">
        <v>531</v>
      </c>
      <c r="B253" s="46" t="s">
        <v>87</v>
      </c>
      <c r="C253" s="62">
        <v>-33494037</v>
      </c>
      <c r="D253" s="50">
        <v>-70597500</v>
      </c>
      <c r="E253" s="54" t="s">
        <v>760</v>
      </c>
      <c r="F253" s="54">
        <v>-33492449</v>
      </c>
      <c r="G253" s="54">
        <v>-7059985</v>
      </c>
      <c r="H253" s="54" t="s">
        <v>761</v>
      </c>
      <c r="I253" s="54">
        <v>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  <c r="O253" s="54">
        <v>0</v>
      </c>
      <c r="P253" s="54">
        <v>0</v>
      </c>
      <c r="Q253" s="54">
        <v>0</v>
      </c>
      <c r="R253" s="54">
        <v>0</v>
      </c>
      <c r="S253" s="54">
        <v>0</v>
      </c>
      <c r="T253" s="54">
        <v>0</v>
      </c>
      <c r="U253" s="54">
        <v>0</v>
      </c>
      <c r="V253" s="54">
        <v>0</v>
      </c>
      <c r="W253" s="54">
        <v>0</v>
      </c>
      <c r="X253" s="54">
        <v>0</v>
      </c>
      <c r="Y253" s="54">
        <v>0</v>
      </c>
      <c r="Z253" s="54">
        <v>0</v>
      </c>
      <c r="AA253" s="54">
        <v>0</v>
      </c>
      <c r="AB253" s="54">
        <v>0</v>
      </c>
      <c r="AC253" s="54">
        <v>0</v>
      </c>
      <c r="AD253" s="54">
        <v>0</v>
      </c>
      <c r="AE253" s="54">
        <v>0</v>
      </c>
      <c r="AF253" s="54">
        <v>0</v>
      </c>
      <c r="AG253" s="54">
        <v>0</v>
      </c>
      <c r="AH253" s="54">
        <v>0</v>
      </c>
      <c r="AI253" s="54">
        <v>0</v>
      </c>
      <c r="AJ253" s="54">
        <v>0</v>
      </c>
      <c r="AK253" s="46">
        <f t="shared" si="45"/>
        <v>0</v>
      </c>
      <c r="AL253" s="46"/>
      <c r="AM253" s="54">
        <v>0</v>
      </c>
      <c r="AN253" s="54">
        <v>0</v>
      </c>
      <c r="AO253" s="54">
        <v>0</v>
      </c>
      <c r="AP253" s="54">
        <v>0</v>
      </c>
      <c r="AQ253" s="54">
        <v>0</v>
      </c>
      <c r="AR253" s="54">
        <v>0</v>
      </c>
      <c r="AS253" s="54">
        <v>0</v>
      </c>
      <c r="AT253" s="54">
        <v>0</v>
      </c>
      <c r="AU253" s="54">
        <v>0</v>
      </c>
      <c r="AV253" s="54">
        <v>0</v>
      </c>
      <c r="AW253" s="54">
        <v>0</v>
      </c>
      <c r="AX253" s="54">
        <v>1</v>
      </c>
      <c r="AY253" s="54">
        <v>0</v>
      </c>
      <c r="AZ253" s="46">
        <f t="shared" si="46"/>
        <v>1</v>
      </c>
      <c r="BA253" s="46"/>
      <c r="BB253" s="54">
        <v>0</v>
      </c>
      <c r="BC253" s="54">
        <v>0</v>
      </c>
      <c r="BD253" s="54">
        <v>0</v>
      </c>
      <c r="BE253" s="54">
        <v>0</v>
      </c>
      <c r="BF253" s="54">
        <v>0</v>
      </c>
      <c r="BG253" s="54">
        <v>0</v>
      </c>
      <c r="BH253" s="54">
        <v>0</v>
      </c>
      <c r="BI253" s="54">
        <v>0</v>
      </c>
      <c r="BJ253" s="46">
        <f t="shared" si="47"/>
        <v>0</v>
      </c>
      <c r="BK253" s="50"/>
      <c r="BL253" s="56">
        <v>0</v>
      </c>
      <c r="BM253" s="56">
        <v>0</v>
      </c>
      <c r="BN253" s="56">
        <v>0</v>
      </c>
      <c r="BO253" s="56">
        <v>0</v>
      </c>
      <c r="BP253" s="56">
        <v>0</v>
      </c>
      <c r="BQ253" s="56">
        <v>0</v>
      </c>
      <c r="BR253" s="54">
        <v>0</v>
      </c>
      <c r="BS253" s="47">
        <f t="shared" si="48"/>
        <v>0</v>
      </c>
      <c r="BT253" s="47"/>
      <c r="BU253" s="44">
        <f t="shared" si="49"/>
        <v>0</v>
      </c>
      <c r="BV253" s="44">
        <f t="shared" si="50"/>
        <v>1</v>
      </c>
      <c r="BW253" s="44">
        <f t="shared" si="51"/>
        <v>1</v>
      </c>
      <c r="BX253" s="44">
        <f t="shared" si="52"/>
        <v>0</v>
      </c>
      <c r="BY253" s="44">
        <f t="shared" si="53"/>
        <v>0</v>
      </c>
      <c r="BZ253" s="56"/>
      <c r="CA253" s="44">
        <f t="shared" si="54"/>
        <v>1</v>
      </c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56"/>
      <c r="CP253" s="56"/>
      <c r="CQ253" s="56"/>
      <c r="CR253" s="56"/>
      <c r="CS253" s="56"/>
      <c r="CT253" s="56"/>
      <c r="CU253" s="56"/>
      <c r="CV253" s="56"/>
    </row>
    <row r="254" spans="1:100" s="49" customFormat="1" ht="15.75" customHeight="1" x14ac:dyDescent="0.25">
      <c r="A254" s="40" t="s">
        <v>531</v>
      </c>
      <c r="B254" s="46" t="s">
        <v>87</v>
      </c>
      <c r="C254" s="62">
        <v>-33494037</v>
      </c>
      <c r="D254" s="50">
        <v>-70597500</v>
      </c>
      <c r="E254" s="54" t="s">
        <v>762</v>
      </c>
      <c r="F254" s="54">
        <v>-33491129</v>
      </c>
      <c r="G254" s="54">
        <v>-7059989</v>
      </c>
      <c r="H254" s="54" t="s">
        <v>763</v>
      </c>
      <c r="I254" s="54">
        <v>0</v>
      </c>
      <c r="J254" s="54">
        <v>0</v>
      </c>
      <c r="K254" s="54">
        <v>0</v>
      </c>
      <c r="L254" s="54">
        <v>1</v>
      </c>
      <c r="M254" s="54">
        <v>0</v>
      </c>
      <c r="N254" s="54">
        <v>0</v>
      </c>
      <c r="O254" s="54">
        <v>0</v>
      </c>
      <c r="P254" s="54">
        <v>0</v>
      </c>
      <c r="Q254" s="54">
        <v>0</v>
      </c>
      <c r="R254" s="54">
        <v>0</v>
      </c>
      <c r="S254" s="54">
        <v>0</v>
      </c>
      <c r="T254" s="54">
        <v>0</v>
      </c>
      <c r="U254" s="54">
        <v>0</v>
      </c>
      <c r="V254" s="54">
        <v>0</v>
      </c>
      <c r="W254" s="54">
        <v>0</v>
      </c>
      <c r="X254" s="54">
        <v>0</v>
      </c>
      <c r="Y254" s="54">
        <v>0</v>
      </c>
      <c r="Z254" s="54">
        <v>0</v>
      </c>
      <c r="AA254" s="54">
        <v>0</v>
      </c>
      <c r="AB254" s="54">
        <v>1</v>
      </c>
      <c r="AC254" s="54">
        <v>0</v>
      </c>
      <c r="AD254" s="54">
        <v>0</v>
      </c>
      <c r="AE254" s="54">
        <v>1</v>
      </c>
      <c r="AF254" s="54">
        <v>1</v>
      </c>
      <c r="AG254" s="54"/>
      <c r="AH254" s="54">
        <v>0</v>
      </c>
      <c r="AI254" s="54">
        <v>0</v>
      </c>
      <c r="AJ254" s="54">
        <v>0</v>
      </c>
      <c r="AK254" s="46">
        <f t="shared" si="45"/>
        <v>4</v>
      </c>
      <c r="AL254" s="46"/>
      <c r="AM254" s="54">
        <v>1</v>
      </c>
      <c r="AN254" s="54">
        <v>1</v>
      </c>
      <c r="AO254" s="54">
        <v>0</v>
      </c>
      <c r="AP254" s="54">
        <v>1</v>
      </c>
      <c r="AQ254" s="54">
        <v>0</v>
      </c>
      <c r="AR254" s="54">
        <v>0</v>
      </c>
      <c r="AS254" s="54">
        <v>0</v>
      </c>
      <c r="AT254" s="54">
        <v>0</v>
      </c>
      <c r="AU254" s="54">
        <v>0</v>
      </c>
      <c r="AV254" s="54">
        <v>0</v>
      </c>
      <c r="AW254" s="54">
        <v>1</v>
      </c>
      <c r="AX254" s="54">
        <v>1</v>
      </c>
      <c r="AY254" s="54">
        <v>1</v>
      </c>
      <c r="AZ254" s="46">
        <f t="shared" si="46"/>
        <v>6</v>
      </c>
      <c r="BA254" s="46"/>
      <c r="BB254" s="54">
        <v>0</v>
      </c>
      <c r="BC254" s="54">
        <v>0</v>
      </c>
      <c r="BD254" s="54">
        <v>0</v>
      </c>
      <c r="BE254" s="54">
        <v>0</v>
      </c>
      <c r="BF254" s="54">
        <v>0</v>
      </c>
      <c r="BG254" s="54">
        <v>0</v>
      </c>
      <c r="BH254" s="54">
        <v>0</v>
      </c>
      <c r="BI254" s="54">
        <v>0</v>
      </c>
      <c r="BJ254" s="46">
        <f t="shared" si="47"/>
        <v>0</v>
      </c>
      <c r="BK254" s="50"/>
      <c r="BL254" s="56">
        <v>0</v>
      </c>
      <c r="BM254" s="56">
        <v>0</v>
      </c>
      <c r="BN254" s="56">
        <v>0</v>
      </c>
      <c r="BO254" s="56">
        <v>0</v>
      </c>
      <c r="BP254" s="56">
        <v>0</v>
      </c>
      <c r="BQ254" s="56">
        <v>0</v>
      </c>
      <c r="BR254" s="54">
        <v>0</v>
      </c>
      <c r="BS254" s="47">
        <f t="shared" si="48"/>
        <v>0</v>
      </c>
      <c r="BT254" s="47"/>
      <c r="BU254" s="44">
        <f t="shared" si="49"/>
        <v>4</v>
      </c>
      <c r="BV254" s="44">
        <f t="shared" si="50"/>
        <v>6</v>
      </c>
      <c r="BW254" s="44">
        <f t="shared" si="51"/>
        <v>10</v>
      </c>
      <c r="BX254" s="44">
        <f t="shared" si="52"/>
        <v>0</v>
      </c>
      <c r="BY254" s="44">
        <f t="shared" si="53"/>
        <v>0</v>
      </c>
      <c r="BZ254" s="56"/>
      <c r="CA254" s="44">
        <f t="shared" si="54"/>
        <v>10</v>
      </c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56"/>
      <c r="CP254" s="56"/>
      <c r="CQ254" s="56"/>
      <c r="CR254" s="56"/>
      <c r="CS254" s="56"/>
      <c r="CT254" s="56"/>
      <c r="CU254" s="56"/>
      <c r="CV254" s="56"/>
    </row>
    <row r="255" spans="1:100" s="49" customFormat="1" ht="15.75" customHeight="1" x14ac:dyDescent="0.25">
      <c r="A255" s="40" t="s">
        <v>531</v>
      </c>
      <c r="B255" s="46" t="s">
        <v>87</v>
      </c>
      <c r="C255" s="62">
        <v>-33494037</v>
      </c>
      <c r="D255" s="50">
        <v>-70597500</v>
      </c>
      <c r="E255" s="54" t="s">
        <v>764</v>
      </c>
      <c r="F255" s="54">
        <v>-33490699</v>
      </c>
      <c r="G255" s="54">
        <v>-7059996</v>
      </c>
      <c r="H255" s="54" t="s">
        <v>765</v>
      </c>
      <c r="I255" s="54">
        <v>0</v>
      </c>
      <c r="J255" s="54">
        <v>0</v>
      </c>
      <c r="K255" s="54">
        <v>0</v>
      </c>
      <c r="L255" s="54">
        <v>1</v>
      </c>
      <c r="M255" s="54">
        <v>0</v>
      </c>
      <c r="N255" s="54">
        <v>0</v>
      </c>
      <c r="O255" s="54">
        <v>1</v>
      </c>
      <c r="P255" s="54">
        <v>0</v>
      </c>
      <c r="Q255" s="54">
        <v>0</v>
      </c>
      <c r="R255" s="54">
        <v>0</v>
      </c>
      <c r="S255" s="54">
        <v>0</v>
      </c>
      <c r="T255" s="54">
        <v>0</v>
      </c>
      <c r="U255" s="54">
        <v>0</v>
      </c>
      <c r="V255" s="54">
        <v>0</v>
      </c>
      <c r="W255" s="54">
        <v>0</v>
      </c>
      <c r="X255" s="54">
        <v>0</v>
      </c>
      <c r="Y255" s="54">
        <v>0</v>
      </c>
      <c r="Z255" s="54">
        <v>0</v>
      </c>
      <c r="AA255" s="54">
        <v>0</v>
      </c>
      <c r="AB255" s="54">
        <v>0</v>
      </c>
      <c r="AC255" s="54">
        <v>1</v>
      </c>
      <c r="AD255" s="54">
        <v>1</v>
      </c>
      <c r="AE255" s="54">
        <v>1</v>
      </c>
      <c r="AF255" s="54">
        <v>1</v>
      </c>
      <c r="AG255" s="54">
        <v>1</v>
      </c>
      <c r="AH255" s="54">
        <v>0</v>
      </c>
      <c r="AI255" s="54">
        <v>0</v>
      </c>
      <c r="AJ255" s="54">
        <v>0</v>
      </c>
      <c r="AK255" s="46">
        <f t="shared" si="45"/>
        <v>7</v>
      </c>
      <c r="AL255" s="46"/>
      <c r="AM255" s="54">
        <v>1</v>
      </c>
      <c r="AN255" s="54">
        <v>1</v>
      </c>
      <c r="AO255" s="54">
        <v>0</v>
      </c>
      <c r="AP255" s="54">
        <v>1</v>
      </c>
      <c r="AQ255" s="54">
        <v>0</v>
      </c>
      <c r="AR255" s="54">
        <v>0</v>
      </c>
      <c r="AS255" s="54">
        <v>1</v>
      </c>
      <c r="AT255" s="54">
        <v>1</v>
      </c>
      <c r="AU255" s="54">
        <v>1</v>
      </c>
      <c r="AV255" s="54">
        <v>1</v>
      </c>
      <c r="AW255" s="54">
        <v>1</v>
      </c>
      <c r="AX255" s="54">
        <v>1</v>
      </c>
      <c r="AY255" s="54">
        <v>0</v>
      </c>
      <c r="AZ255" s="46">
        <f t="shared" si="46"/>
        <v>9</v>
      </c>
      <c r="BA255" s="46"/>
      <c r="BB255" s="54">
        <v>0</v>
      </c>
      <c r="BC255" s="54">
        <v>0</v>
      </c>
      <c r="BD255" s="54">
        <v>0</v>
      </c>
      <c r="BE255" s="54">
        <v>0</v>
      </c>
      <c r="BF255" s="54">
        <v>0</v>
      </c>
      <c r="BG255" s="54">
        <v>0</v>
      </c>
      <c r="BH255" s="54">
        <v>0</v>
      </c>
      <c r="BI255" s="54">
        <v>0</v>
      </c>
      <c r="BJ255" s="46">
        <f t="shared" si="47"/>
        <v>0</v>
      </c>
      <c r="BK255" s="50"/>
      <c r="BL255" s="56">
        <v>0</v>
      </c>
      <c r="BM255" s="56">
        <v>0</v>
      </c>
      <c r="BN255" s="56">
        <v>0</v>
      </c>
      <c r="BO255" s="56">
        <v>0</v>
      </c>
      <c r="BP255" s="56">
        <v>0</v>
      </c>
      <c r="BQ255" s="56">
        <v>0</v>
      </c>
      <c r="BR255" s="54">
        <v>0</v>
      </c>
      <c r="BS255" s="47">
        <f t="shared" si="48"/>
        <v>0</v>
      </c>
      <c r="BT255" s="47"/>
      <c r="BU255" s="44">
        <f t="shared" si="49"/>
        <v>7</v>
      </c>
      <c r="BV255" s="44">
        <f t="shared" si="50"/>
        <v>9</v>
      </c>
      <c r="BW255" s="44">
        <f t="shared" si="51"/>
        <v>16</v>
      </c>
      <c r="BX255" s="44">
        <f t="shared" si="52"/>
        <v>0</v>
      </c>
      <c r="BY255" s="44">
        <f t="shared" si="53"/>
        <v>0</v>
      </c>
      <c r="BZ255" s="56"/>
      <c r="CA255" s="44">
        <f t="shared" si="54"/>
        <v>16</v>
      </c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  <c r="CL255" s="56"/>
      <c r="CM255" s="56"/>
      <c r="CN255" s="56"/>
      <c r="CO255" s="56"/>
      <c r="CP255" s="56"/>
      <c r="CQ255" s="56"/>
      <c r="CR255" s="56"/>
      <c r="CS255" s="56"/>
      <c r="CT255" s="56"/>
      <c r="CU255" s="56"/>
      <c r="CV255" s="56"/>
    </row>
    <row r="256" spans="1:100" s="49" customFormat="1" ht="15.75" customHeight="1" x14ac:dyDescent="0.25">
      <c r="A256" s="40" t="s">
        <v>531</v>
      </c>
      <c r="B256" s="46" t="s">
        <v>87</v>
      </c>
      <c r="C256" s="62">
        <v>-33494037</v>
      </c>
      <c r="D256" s="50">
        <v>-70597500</v>
      </c>
      <c r="E256" s="54" t="s">
        <v>766</v>
      </c>
      <c r="F256" s="54">
        <v>-3349058</v>
      </c>
      <c r="G256" s="54">
        <v>-70599481</v>
      </c>
      <c r="H256" s="54" t="s">
        <v>767</v>
      </c>
      <c r="I256" s="54">
        <v>0</v>
      </c>
      <c r="J256" s="54">
        <v>0</v>
      </c>
      <c r="K256" s="54">
        <v>0</v>
      </c>
      <c r="L256" s="54">
        <v>0</v>
      </c>
      <c r="M256" s="54">
        <v>1</v>
      </c>
      <c r="N256" s="54">
        <v>0</v>
      </c>
      <c r="O256" s="54">
        <v>0</v>
      </c>
      <c r="P256" s="54">
        <v>0</v>
      </c>
      <c r="Q256" s="54">
        <v>0</v>
      </c>
      <c r="R256" s="54">
        <v>0</v>
      </c>
      <c r="S256" s="54">
        <v>0</v>
      </c>
      <c r="T256" s="54">
        <v>0</v>
      </c>
      <c r="U256" s="54">
        <v>1</v>
      </c>
      <c r="V256" s="54">
        <v>0</v>
      </c>
      <c r="W256" s="54">
        <v>0</v>
      </c>
      <c r="X256" s="54">
        <v>1</v>
      </c>
      <c r="Y256" s="54">
        <v>0</v>
      </c>
      <c r="Z256" s="54">
        <v>0</v>
      </c>
      <c r="AA256" s="54">
        <v>0</v>
      </c>
      <c r="AB256" s="54">
        <v>0</v>
      </c>
      <c r="AC256" s="54">
        <v>1</v>
      </c>
      <c r="AD256" s="54">
        <v>0</v>
      </c>
      <c r="AE256" s="54">
        <v>0</v>
      </c>
      <c r="AF256" s="54">
        <v>0</v>
      </c>
      <c r="AG256" s="54">
        <v>1</v>
      </c>
      <c r="AH256" s="54">
        <v>0</v>
      </c>
      <c r="AI256" s="54">
        <v>0</v>
      </c>
      <c r="AJ256" s="54">
        <v>0</v>
      </c>
      <c r="AK256" s="46">
        <f t="shared" si="45"/>
        <v>5</v>
      </c>
      <c r="AL256" s="46"/>
      <c r="AM256" s="54">
        <v>0</v>
      </c>
      <c r="AN256" s="54">
        <v>0</v>
      </c>
      <c r="AO256" s="54">
        <v>0</v>
      </c>
      <c r="AP256" s="54">
        <v>0</v>
      </c>
      <c r="AQ256" s="54">
        <v>0</v>
      </c>
      <c r="AR256" s="54">
        <v>0</v>
      </c>
      <c r="AS256" s="54">
        <v>0</v>
      </c>
      <c r="AT256" s="54">
        <v>0</v>
      </c>
      <c r="AU256" s="54">
        <v>0</v>
      </c>
      <c r="AV256" s="54">
        <v>0</v>
      </c>
      <c r="AW256" s="54">
        <v>1</v>
      </c>
      <c r="AX256" s="54">
        <v>0</v>
      </c>
      <c r="AY256" s="54">
        <v>0</v>
      </c>
      <c r="AZ256" s="46">
        <f t="shared" si="46"/>
        <v>1</v>
      </c>
      <c r="BA256" s="46"/>
      <c r="BB256" s="54">
        <v>0</v>
      </c>
      <c r="BC256" s="54">
        <v>0</v>
      </c>
      <c r="BD256" s="54">
        <v>0</v>
      </c>
      <c r="BE256" s="54">
        <v>0</v>
      </c>
      <c r="BF256" s="54">
        <v>0</v>
      </c>
      <c r="BG256" s="54">
        <v>1</v>
      </c>
      <c r="BH256" s="54">
        <v>0</v>
      </c>
      <c r="BI256" s="54">
        <v>0</v>
      </c>
      <c r="BJ256" s="46">
        <f t="shared" si="47"/>
        <v>1</v>
      </c>
      <c r="BK256" s="50"/>
      <c r="BL256" s="56">
        <v>0</v>
      </c>
      <c r="BM256" s="56">
        <v>0</v>
      </c>
      <c r="BN256" s="56">
        <v>0</v>
      </c>
      <c r="BO256" s="56">
        <v>0</v>
      </c>
      <c r="BP256" s="56">
        <v>0</v>
      </c>
      <c r="BQ256" s="56">
        <v>0</v>
      </c>
      <c r="BR256" s="54">
        <v>0</v>
      </c>
      <c r="BS256" s="47">
        <f t="shared" si="48"/>
        <v>0</v>
      </c>
      <c r="BT256" s="47"/>
      <c r="BU256" s="44">
        <f t="shared" si="49"/>
        <v>5</v>
      </c>
      <c r="BV256" s="44">
        <f t="shared" si="50"/>
        <v>1</v>
      </c>
      <c r="BW256" s="44">
        <f t="shared" si="51"/>
        <v>6</v>
      </c>
      <c r="BX256" s="44">
        <f t="shared" si="52"/>
        <v>1</v>
      </c>
      <c r="BY256" s="44">
        <f t="shared" si="53"/>
        <v>0</v>
      </c>
      <c r="BZ256" s="56"/>
      <c r="CA256" s="44">
        <f t="shared" si="54"/>
        <v>7</v>
      </c>
      <c r="CB256" s="56"/>
      <c r="CC256" s="56"/>
      <c r="CD256" s="56"/>
      <c r="CE256" s="56"/>
      <c r="CF256" s="56"/>
      <c r="CG256" s="56"/>
      <c r="CH256" s="56"/>
      <c r="CI256" s="56"/>
      <c r="CJ256" s="56"/>
      <c r="CK256" s="56"/>
      <c r="CL256" s="56"/>
      <c r="CM256" s="56"/>
      <c r="CN256" s="56"/>
      <c r="CO256" s="56"/>
      <c r="CP256" s="56"/>
      <c r="CQ256" s="56"/>
      <c r="CR256" s="56"/>
      <c r="CS256" s="56"/>
      <c r="CT256" s="56"/>
      <c r="CU256" s="56"/>
      <c r="CV256" s="56"/>
    </row>
    <row r="257" spans="1:100" s="49" customFormat="1" ht="15.75" customHeight="1" x14ac:dyDescent="0.25">
      <c r="A257" s="40" t="s">
        <v>531</v>
      </c>
      <c r="B257" s="46" t="s">
        <v>87</v>
      </c>
      <c r="C257" s="62">
        <v>-33494037</v>
      </c>
      <c r="D257" s="50">
        <v>-70597500</v>
      </c>
      <c r="E257" s="54" t="s">
        <v>768</v>
      </c>
      <c r="F257" s="54">
        <v>-33490774</v>
      </c>
      <c r="G257" s="54">
        <v>-70599659</v>
      </c>
      <c r="H257" s="54" t="s">
        <v>769</v>
      </c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46">
        <f t="shared" si="45"/>
        <v>0</v>
      </c>
      <c r="AL257" s="46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46">
        <f t="shared" si="46"/>
        <v>0</v>
      </c>
      <c r="BA257" s="46"/>
      <c r="BB257" s="54"/>
      <c r="BC257" s="54"/>
      <c r="BD257" s="54"/>
      <c r="BE257" s="54"/>
      <c r="BF257" s="54"/>
      <c r="BG257" s="54"/>
      <c r="BH257" s="54"/>
      <c r="BI257" s="54"/>
      <c r="BJ257" s="46">
        <f t="shared" si="47"/>
        <v>0</v>
      </c>
      <c r="BK257" s="50"/>
      <c r="BL257" s="56"/>
      <c r="BM257" s="56"/>
      <c r="BN257" s="56"/>
      <c r="BO257" s="56"/>
      <c r="BP257" s="56"/>
      <c r="BQ257" s="56"/>
      <c r="BR257" s="54"/>
      <c r="BS257" s="47">
        <f t="shared" si="48"/>
        <v>0</v>
      </c>
      <c r="BT257" s="47"/>
      <c r="BU257" s="44">
        <f t="shared" si="49"/>
        <v>0</v>
      </c>
      <c r="BV257" s="44">
        <f t="shared" si="50"/>
        <v>0</v>
      </c>
      <c r="BW257" s="44">
        <f t="shared" si="51"/>
        <v>0</v>
      </c>
      <c r="BX257" s="44">
        <f t="shared" si="52"/>
        <v>0</v>
      </c>
      <c r="BY257" s="44">
        <f t="shared" si="53"/>
        <v>0</v>
      </c>
      <c r="BZ257" s="56"/>
      <c r="CA257" s="44">
        <f t="shared" si="54"/>
        <v>0</v>
      </c>
      <c r="CB257" s="56"/>
      <c r="CC257" s="56"/>
      <c r="CD257" s="56"/>
      <c r="CE257" s="56"/>
      <c r="CF257" s="56"/>
      <c r="CG257" s="56"/>
      <c r="CH257" s="56"/>
      <c r="CI257" s="56"/>
      <c r="CJ257" s="56"/>
      <c r="CK257" s="56"/>
      <c r="CL257" s="56"/>
      <c r="CM257" s="56"/>
      <c r="CN257" s="56"/>
      <c r="CO257" s="56"/>
      <c r="CP257" s="56"/>
      <c r="CQ257" s="56"/>
      <c r="CR257" s="56"/>
      <c r="CS257" s="56"/>
      <c r="CT257" s="56"/>
      <c r="CU257" s="56"/>
      <c r="CV257" s="56"/>
    </row>
    <row r="258" spans="1:100" s="49" customFormat="1" ht="15.75" customHeight="1" x14ac:dyDescent="0.25">
      <c r="A258" s="40" t="s">
        <v>531</v>
      </c>
      <c r="B258" s="46" t="s">
        <v>87</v>
      </c>
      <c r="C258" s="62">
        <v>-33494037</v>
      </c>
      <c r="D258" s="50">
        <v>-70597500</v>
      </c>
      <c r="E258" s="54" t="s">
        <v>770</v>
      </c>
      <c r="F258" s="54">
        <v>-33490774</v>
      </c>
      <c r="G258" s="54">
        <v>-70599659</v>
      </c>
      <c r="H258" s="54" t="s">
        <v>771</v>
      </c>
      <c r="I258" s="54">
        <v>0</v>
      </c>
      <c r="J258" s="54">
        <v>0</v>
      </c>
      <c r="K258" s="54">
        <v>0</v>
      </c>
      <c r="L258" s="54">
        <v>1</v>
      </c>
      <c r="M258" s="54">
        <v>1</v>
      </c>
      <c r="N258" s="54">
        <v>1</v>
      </c>
      <c r="O258" s="54">
        <v>0</v>
      </c>
      <c r="P258" s="54">
        <v>0</v>
      </c>
      <c r="Q258" s="54">
        <v>1</v>
      </c>
      <c r="R258" s="54">
        <v>0</v>
      </c>
      <c r="S258" s="54">
        <v>1</v>
      </c>
      <c r="T258" s="54">
        <v>0</v>
      </c>
      <c r="U258" s="54">
        <v>0</v>
      </c>
      <c r="V258" s="54">
        <v>0</v>
      </c>
      <c r="W258" s="54">
        <v>1</v>
      </c>
      <c r="X258" s="54">
        <v>1</v>
      </c>
      <c r="Y258" s="54">
        <v>0</v>
      </c>
      <c r="Z258" s="54">
        <v>0</v>
      </c>
      <c r="AA258" s="54">
        <v>0</v>
      </c>
      <c r="AB258" s="54">
        <v>0</v>
      </c>
      <c r="AC258" s="54">
        <v>1</v>
      </c>
      <c r="AD258" s="54">
        <v>1</v>
      </c>
      <c r="AE258" s="54">
        <v>0</v>
      </c>
      <c r="AF258" s="54">
        <v>0</v>
      </c>
      <c r="AG258" s="54">
        <v>1</v>
      </c>
      <c r="AH258" s="54">
        <v>1</v>
      </c>
      <c r="AI258" s="54">
        <v>0</v>
      </c>
      <c r="AJ258" s="54">
        <v>0</v>
      </c>
      <c r="AK258" s="46">
        <f t="shared" si="45"/>
        <v>11</v>
      </c>
      <c r="AL258" s="46"/>
      <c r="AM258" s="54">
        <v>1</v>
      </c>
      <c r="AN258" s="54">
        <v>1</v>
      </c>
      <c r="AO258" s="54">
        <v>1</v>
      </c>
      <c r="AP258" s="54">
        <v>1</v>
      </c>
      <c r="AQ258" s="54">
        <v>0</v>
      </c>
      <c r="AR258" s="54">
        <v>1</v>
      </c>
      <c r="AS258" s="54">
        <v>1</v>
      </c>
      <c r="AT258" s="54">
        <v>1</v>
      </c>
      <c r="AU258" s="54">
        <v>1</v>
      </c>
      <c r="AV258" s="54">
        <v>0</v>
      </c>
      <c r="AW258" s="54">
        <v>1</v>
      </c>
      <c r="AX258" s="54">
        <v>0</v>
      </c>
      <c r="AY258" s="54">
        <v>1</v>
      </c>
      <c r="AZ258" s="46">
        <f t="shared" si="46"/>
        <v>10</v>
      </c>
      <c r="BA258" s="46"/>
      <c r="BB258" s="54">
        <v>0</v>
      </c>
      <c r="BC258" s="54">
        <v>0</v>
      </c>
      <c r="BD258" s="54">
        <v>0</v>
      </c>
      <c r="BE258" s="54">
        <v>0</v>
      </c>
      <c r="BF258" s="54">
        <v>0</v>
      </c>
      <c r="BG258" s="54">
        <v>0</v>
      </c>
      <c r="BH258" s="54">
        <v>0</v>
      </c>
      <c r="BI258" s="54">
        <v>0</v>
      </c>
      <c r="BJ258" s="46">
        <f t="shared" si="47"/>
        <v>0</v>
      </c>
      <c r="BK258" s="50"/>
      <c r="BL258" s="56">
        <v>0</v>
      </c>
      <c r="BM258" s="56">
        <v>0</v>
      </c>
      <c r="BN258" s="56">
        <v>0</v>
      </c>
      <c r="BO258" s="56">
        <v>0</v>
      </c>
      <c r="BP258" s="56">
        <v>0</v>
      </c>
      <c r="BQ258" s="56">
        <v>0</v>
      </c>
      <c r="BR258" s="54">
        <v>0</v>
      </c>
      <c r="BS258" s="47">
        <f t="shared" si="48"/>
        <v>0</v>
      </c>
      <c r="BT258" s="47"/>
      <c r="BU258" s="44">
        <f t="shared" si="49"/>
        <v>11</v>
      </c>
      <c r="BV258" s="44">
        <f t="shared" si="50"/>
        <v>10</v>
      </c>
      <c r="BW258" s="44">
        <f t="shared" si="51"/>
        <v>21</v>
      </c>
      <c r="BX258" s="44">
        <f t="shared" si="52"/>
        <v>0</v>
      </c>
      <c r="BY258" s="44">
        <f t="shared" si="53"/>
        <v>0</v>
      </c>
      <c r="BZ258" s="56"/>
      <c r="CA258" s="44">
        <f t="shared" si="54"/>
        <v>21</v>
      </c>
      <c r="CB258" s="56"/>
      <c r="CC258" s="56"/>
      <c r="CD258" s="56"/>
      <c r="CE258" s="56"/>
      <c r="CF258" s="56"/>
      <c r="CG258" s="56"/>
      <c r="CH258" s="56"/>
      <c r="CI258" s="56"/>
      <c r="CJ258" s="56"/>
      <c r="CK258" s="56"/>
      <c r="CL258" s="56"/>
      <c r="CM258" s="56"/>
      <c r="CN258" s="56"/>
      <c r="CO258" s="56"/>
      <c r="CP258" s="56"/>
      <c r="CQ258" s="56"/>
      <c r="CR258" s="56"/>
      <c r="CS258" s="56"/>
      <c r="CT258" s="56"/>
      <c r="CU258" s="56"/>
      <c r="CV258" s="56"/>
    </row>
    <row r="259" spans="1:100" s="49" customFormat="1" ht="15.75" customHeight="1" x14ac:dyDescent="0.25">
      <c r="A259" s="40" t="s">
        <v>531</v>
      </c>
      <c r="B259" s="46" t="s">
        <v>87</v>
      </c>
      <c r="C259" s="62">
        <v>-33494037</v>
      </c>
      <c r="D259" s="50">
        <v>-70597500</v>
      </c>
      <c r="E259" s="54" t="s">
        <v>772</v>
      </c>
      <c r="F259" s="54">
        <v>-33491477</v>
      </c>
      <c r="G259" s="54">
        <v>-70599616</v>
      </c>
      <c r="H259" s="54" t="s">
        <v>773</v>
      </c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46">
        <f t="shared" si="45"/>
        <v>0</v>
      </c>
      <c r="AL259" s="46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46">
        <f t="shared" si="46"/>
        <v>0</v>
      </c>
      <c r="BA259" s="46"/>
      <c r="BB259" s="54"/>
      <c r="BC259" s="54"/>
      <c r="BD259" s="54"/>
      <c r="BE259" s="54"/>
      <c r="BF259" s="54"/>
      <c r="BG259" s="54"/>
      <c r="BH259" s="54"/>
      <c r="BI259" s="54"/>
      <c r="BJ259" s="46">
        <f t="shared" si="47"/>
        <v>0</v>
      </c>
      <c r="BK259" s="50"/>
      <c r="BL259" s="56"/>
      <c r="BM259" s="56"/>
      <c r="BN259" s="56"/>
      <c r="BO259" s="56"/>
      <c r="BP259" s="56"/>
      <c r="BQ259" s="56"/>
      <c r="BR259" s="54"/>
      <c r="BS259" s="47">
        <f t="shared" si="48"/>
        <v>0</v>
      </c>
      <c r="BT259" s="47"/>
      <c r="BU259" s="44">
        <f t="shared" si="49"/>
        <v>0</v>
      </c>
      <c r="BV259" s="44">
        <f t="shared" si="50"/>
        <v>0</v>
      </c>
      <c r="BW259" s="44">
        <f t="shared" si="51"/>
        <v>0</v>
      </c>
      <c r="BX259" s="44">
        <f t="shared" si="52"/>
        <v>0</v>
      </c>
      <c r="BY259" s="44">
        <f t="shared" si="53"/>
        <v>0</v>
      </c>
      <c r="BZ259" s="56"/>
      <c r="CA259" s="44">
        <f t="shared" si="54"/>
        <v>0</v>
      </c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  <c r="CL259" s="56"/>
      <c r="CM259" s="56"/>
      <c r="CN259" s="56"/>
      <c r="CO259" s="56"/>
      <c r="CP259" s="56"/>
      <c r="CQ259" s="56"/>
      <c r="CR259" s="56"/>
      <c r="CS259" s="56"/>
      <c r="CT259" s="56"/>
      <c r="CU259" s="56"/>
      <c r="CV259" s="56"/>
    </row>
    <row r="260" spans="1:100" s="49" customFormat="1" ht="15.75" customHeight="1" x14ac:dyDescent="0.25">
      <c r="A260" s="40" t="s">
        <v>531</v>
      </c>
      <c r="B260" s="46" t="s">
        <v>87</v>
      </c>
      <c r="C260" s="62">
        <v>-33494037</v>
      </c>
      <c r="D260" s="50">
        <v>-70597500</v>
      </c>
      <c r="E260" s="54" t="s">
        <v>774</v>
      </c>
      <c r="F260" s="54">
        <v>-33492578</v>
      </c>
      <c r="G260" s="54">
        <v>-70599731</v>
      </c>
      <c r="H260" s="54" t="s">
        <v>775</v>
      </c>
      <c r="I260" s="54">
        <v>0</v>
      </c>
      <c r="J260" s="54">
        <v>0</v>
      </c>
      <c r="K260" s="54">
        <v>0</v>
      </c>
      <c r="L260" s="54">
        <v>0</v>
      </c>
      <c r="M260" s="54">
        <v>0</v>
      </c>
      <c r="N260" s="54">
        <v>0</v>
      </c>
      <c r="O260" s="54">
        <v>0</v>
      </c>
      <c r="P260" s="54">
        <v>0</v>
      </c>
      <c r="Q260" s="54">
        <v>0</v>
      </c>
      <c r="R260" s="54">
        <v>0</v>
      </c>
      <c r="S260" s="54">
        <v>0</v>
      </c>
      <c r="T260" s="54">
        <v>0</v>
      </c>
      <c r="U260" s="54">
        <v>0</v>
      </c>
      <c r="V260" s="54">
        <v>0</v>
      </c>
      <c r="W260" s="54">
        <v>0</v>
      </c>
      <c r="X260" s="54">
        <v>0</v>
      </c>
      <c r="Y260" s="54">
        <v>0</v>
      </c>
      <c r="Z260" s="54">
        <v>0</v>
      </c>
      <c r="AA260" s="54">
        <v>0</v>
      </c>
      <c r="AB260" s="54">
        <v>0</v>
      </c>
      <c r="AC260" s="54">
        <v>1</v>
      </c>
      <c r="AD260" s="54">
        <v>0</v>
      </c>
      <c r="AE260" s="50">
        <v>0</v>
      </c>
      <c r="AF260" s="54">
        <v>1</v>
      </c>
      <c r="AG260" s="54">
        <v>1</v>
      </c>
      <c r="AH260" s="54">
        <v>0</v>
      </c>
      <c r="AI260" s="54">
        <v>0</v>
      </c>
      <c r="AJ260" s="54">
        <v>0</v>
      </c>
      <c r="AK260" s="46">
        <f t="shared" si="45"/>
        <v>3</v>
      </c>
      <c r="AL260" s="46"/>
      <c r="AM260" s="54">
        <v>1</v>
      </c>
      <c r="AN260" s="54">
        <v>1</v>
      </c>
      <c r="AO260" s="54">
        <v>0</v>
      </c>
      <c r="AP260" s="54">
        <v>1</v>
      </c>
      <c r="AQ260" s="54">
        <v>0</v>
      </c>
      <c r="AR260" s="54">
        <v>0</v>
      </c>
      <c r="AS260" s="54">
        <v>0</v>
      </c>
      <c r="AT260" s="54">
        <v>1</v>
      </c>
      <c r="AU260" s="54">
        <v>1</v>
      </c>
      <c r="AV260" s="54">
        <v>0</v>
      </c>
      <c r="AW260" s="54">
        <v>1</v>
      </c>
      <c r="AX260" s="54">
        <v>1</v>
      </c>
      <c r="AY260" s="54">
        <v>1</v>
      </c>
      <c r="AZ260" s="46">
        <f t="shared" si="46"/>
        <v>8</v>
      </c>
      <c r="BA260" s="46"/>
      <c r="BB260" s="54">
        <v>0</v>
      </c>
      <c r="BC260" s="54">
        <v>0</v>
      </c>
      <c r="BD260" s="54">
        <v>0</v>
      </c>
      <c r="BE260" s="54">
        <v>0</v>
      </c>
      <c r="BF260" s="54">
        <v>0</v>
      </c>
      <c r="BG260" s="54">
        <v>0</v>
      </c>
      <c r="BH260" s="54">
        <v>0</v>
      </c>
      <c r="BI260" s="54">
        <v>0</v>
      </c>
      <c r="BJ260" s="46">
        <f t="shared" si="47"/>
        <v>0</v>
      </c>
      <c r="BK260" s="50"/>
      <c r="BL260" s="56">
        <v>0</v>
      </c>
      <c r="BM260" s="56">
        <v>0</v>
      </c>
      <c r="BN260" s="56">
        <v>0</v>
      </c>
      <c r="BO260" s="56">
        <v>0</v>
      </c>
      <c r="BP260" s="56">
        <v>0</v>
      </c>
      <c r="BQ260" s="56">
        <v>0</v>
      </c>
      <c r="BR260" s="54">
        <v>0</v>
      </c>
      <c r="BS260" s="47">
        <f t="shared" si="48"/>
        <v>0</v>
      </c>
      <c r="BT260" s="47"/>
      <c r="BU260" s="44">
        <f t="shared" si="49"/>
        <v>3</v>
      </c>
      <c r="BV260" s="44">
        <f t="shared" si="50"/>
        <v>8</v>
      </c>
      <c r="BW260" s="44">
        <f t="shared" si="51"/>
        <v>11</v>
      </c>
      <c r="BX260" s="44">
        <f t="shared" si="52"/>
        <v>0</v>
      </c>
      <c r="BY260" s="44">
        <f t="shared" si="53"/>
        <v>0</v>
      </c>
      <c r="BZ260" s="56"/>
      <c r="CA260" s="44">
        <f t="shared" si="54"/>
        <v>11</v>
      </c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  <c r="CL260" s="56"/>
      <c r="CM260" s="56"/>
      <c r="CN260" s="56"/>
      <c r="CO260" s="56"/>
      <c r="CP260" s="56"/>
      <c r="CQ260" s="56"/>
      <c r="CR260" s="56"/>
      <c r="CS260" s="56"/>
      <c r="CT260" s="56"/>
      <c r="CU260" s="56"/>
      <c r="CV260" s="56"/>
    </row>
    <row r="261" spans="1:100" s="49" customFormat="1" ht="15.75" customHeight="1" x14ac:dyDescent="0.25">
      <c r="A261" s="40" t="s">
        <v>531</v>
      </c>
      <c r="B261" s="46" t="s">
        <v>87</v>
      </c>
      <c r="C261" s="62">
        <v>-33494037</v>
      </c>
      <c r="D261" s="50">
        <v>-70597500</v>
      </c>
      <c r="E261" s="54" t="s">
        <v>776</v>
      </c>
      <c r="F261" s="54">
        <v>-33492905</v>
      </c>
      <c r="G261" s="54">
        <v>-70601583</v>
      </c>
      <c r="H261" s="54" t="s">
        <v>777</v>
      </c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0"/>
      <c r="AF261" s="54"/>
      <c r="AG261" s="54"/>
      <c r="AH261" s="54"/>
      <c r="AI261" s="54"/>
      <c r="AJ261" s="54"/>
      <c r="AK261" s="46">
        <f t="shared" si="45"/>
        <v>0</v>
      </c>
      <c r="AL261" s="46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46">
        <f t="shared" si="46"/>
        <v>0</v>
      </c>
      <c r="BA261" s="46"/>
      <c r="BB261" s="54"/>
      <c r="BC261" s="54"/>
      <c r="BD261" s="54"/>
      <c r="BE261" s="54"/>
      <c r="BF261" s="54"/>
      <c r="BG261" s="54"/>
      <c r="BH261" s="54"/>
      <c r="BI261" s="54"/>
      <c r="BJ261" s="46">
        <f t="shared" si="47"/>
        <v>0</v>
      </c>
      <c r="BK261" s="50"/>
      <c r="BL261" s="56"/>
      <c r="BM261" s="56"/>
      <c r="BN261" s="56"/>
      <c r="BO261" s="56"/>
      <c r="BP261" s="56"/>
      <c r="BQ261" s="56"/>
      <c r="BR261" s="54"/>
      <c r="BS261" s="47">
        <f t="shared" si="48"/>
        <v>0</v>
      </c>
      <c r="BT261" s="47"/>
      <c r="BU261" s="44">
        <f t="shared" si="49"/>
        <v>0</v>
      </c>
      <c r="BV261" s="44">
        <f t="shared" si="50"/>
        <v>0</v>
      </c>
      <c r="BW261" s="44">
        <f t="shared" si="51"/>
        <v>0</v>
      </c>
      <c r="BX261" s="44">
        <f t="shared" si="52"/>
        <v>0</v>
      </c>
      <c r="BY261" s="44">
        <f t="shared" si="53"/>
        <v>0</v>
      </c>
      <c r="BZ261" s="56"/>
      <c r="CA261" s="44">
        <f t="shared" si="54"/>
        <v>0</v>
      </c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56"/>
      <c r="CP261" s="56"/>
      <c r="CQ261" s="56"/>
      <c r="CR261" s="56"/>
      <c r="CS261" s="56"/>
      <c r="CT261" s="56"/>
      <c r="CU261" s="56"/>
      <c r="CV261" s="56"/>
    </row>
    <row r="262" spans="1:100" s="49" customFormat="1" ht="15.75" customHeight="1" x14ac:dyDescent="0.25">
      <c r="A262" s="40" t="s">
        <v>531</v>
      </c>
      <c r="B262" s="46" t="s">
        <v>87</v>
      </c>
      <c r="C262" s="62">
        <v>-33494037</v>
      </c>
      <c r="D262" s="50">
        <v>-70597500</v>
      </c>
      <c r="E262" s="54" t="s">
        <v>778</v>
      </c>
      <c r="F262" s="54">
        <v>-33422905</v>
      </c>
      <c r="G262" s="54">
        <v>-70601583</v>
      </c>
      <c r="H262" s="54" t="s">
        <v>779</v>
      </c>
      <c r="I262" s="54">
        <v>0</v>
      </c>
      <c r="J262" s="54">
        <v>0</v>
      </c>
      <c r="K262" s="54">
        <v>1</v>
      </c>
      <c r="L262" s="54">
        <v>1</v>
      </c>
      <c r="M262" s="54">
        <v>1</v>
      </c>
      <c r="N262" s="54">
        <v>1</v>
      </c>
      <c r="O262" s="54">
        <v>1</v>
      </c>
      <c r="P262" s="54">
        <v>0</v>
      </c>
      <c r="Q262" s="54">
        <v>1</v>
      </c>
      <c r="R262" s="54">
        <v>0</v>
      </c>
      <c r="S262" s="54">
        <v>1</v>
      </c>
      <c r="T262" s="54">
        <v>1</v>
      </c>
      <c r="U262" s="54">
        <v>1</v>
      </c>
      <c r="V262" s="54">
        <v>0</v>
      </c>
      <c r="W262" s="54">
        <v>1</v>
      </c>
      <c r="X262" s="54">
        <v>1</v>
      </c>
      <c r="Y262" s="54">
        <v>0</v>
      </c>
      <c r="Z262" s="54">
        <v>0</v>
      </c>
      <c r="AA262" s="54">
        <v>0</v>
      </c>
      <c r="AB262" s="54">
        <v>0</v>
      </c>
      <c r="AC262" s="54">
        <v>1</v>
      </c>
      <c r="AD262" s="54">
        <v>1</v>
      </c>
      <c r="AE262" s="50">
        <v>0</v>
      </c>
      <c r="AF262" s="54">
        <v>1</v>
      </c>
      <c r="AG262" s="54">
        <v>1</v>
      </c>
      <c r="AH262" s="54">
        <v>1</v>
      </c>
      <c r="AI262" s="54">
        <v>0</v>
      </c>
      <c r="AJ262" s="54">
        <v>0</v>
      </c>
      <c r="AK262" s="46">
        <f t="shared" si="45"/>
        <v>16</v>
      </c>
      <c r="AL262" s="46"/>
      <c r="AM262" s="54">
        <v>1</v>
      </c>
      <c r="AN262" s="54">
        <v>1</v>
      </c>
      <c r="AO262" s="54">
        <v>1</v>
      </c>
      <c r="AP262" s="54">
        <v>1</v>
      </c>
      <c r="AQ262" s="54">
        <v>1</v>
      </c>
      <c r="AR262" s="54">
        <v>1</v>
      </c>
      <c r="AS262" s="54">
        <v>1</v>
      </c>
      <c r="AT262" s="54">
        <v>1</v>
      </c>
      <c r="AU262" s="54">
        <v>1</v>
      </c>
      <c r="AV262" s="54">
        <v>0</v>
      </c>
      <c r="AW262" s="54">
        <v>1</v>
      </c>
      <c r="AX262" s="54">
        <v>1</v>
      </c>
      <c r="AY262" s="54">
        <v>1</v>
      </c>
      <c r="AZ262" s="46">
        <f t="shared" si="46"/>
        <v>12</v>
      </c>
      <c r="BA262" s="46"/>
      <c r="BB262" s="54">
        <v>0</v>
      </c>
      <c r="BC262" s="54">
        <v>0</v>
      </c>
      <c r="BD262" s="54">
        <v>0</v>
      </c>
      <c r="BE262" s="54">
        <v>0</v>
      </c>
      <c r="BF262" s="54">
        <v>0</v>
      </c>
      <c r="BG262" s="54">
        <v>0</v>
      </c>
      <c r="BH262" s="54">
        <v>0</v>
      </c>
      <c r="BI262" s="54">
        <v>0</v>
      </c>
      <c r="BJ262" s="46">
        <f t="shared" si="47"/>
        <v>0</v>
      </c>
      <c r="BK262" s="50"/>
      <c r="BL262" s="56">
        <v>0</v>
      </c>
      <c r="BM262" s="56">
        <v>0</v>
      </c>
      <c r="BN262" s="56">
        <v>0</v>
      </c>
      <c r="BO262" s="56">
        <v>0</v>
      </c>
      <c r="BP262" s="56">
        <v>0</v>
      </c>
      <c r="BQ262" s="56">
        <v>0</v>
      </c>
      <c r="BR262" s="54">
        <v>0</v>
      </c>
      <c r="BS262" s="47">
        <f t="shared" si="48"/>
        <v>0</v>
      </c>
      <c r="BT262" s="47"/>
      <c r="BU262" s="44">
        <f t="shared" si="49"/>
        <v>16</v>
      </c>
      <c r="BV262" s="44">
        <f t="shared" si="50"/>
        <v>12</v>
      </c>
      <c r="BW262" s="44">
        <f t="shared" si="51"/>
        <v>28</v>
      </c>
      <c r="BX262" s="44">
        <f t="shared" si="52"/>
        <v>0</v>
      </c>
      <c r="BY262" s="44">
        <f t="shared" si="53"/>
        <v>0</v>
      </c>
      <c r="BZ262" s="56"/>
      <c r="CA262" s="44">
        <f t="shared" si="54"/>
        <v>28</v>
      </c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56"/>
      <c r="CP262" s="56"/>
      <c r="CQ262" s="56"/>
      <c r="CR262" s="56"/>
      <c r="CS262" s="56"/>
      <c r="CT262" s="56"/>
      <c r="CU262" s="56"/>
      <c r="CV262" s="56"/>
    </row>
    <row r="263" spans="1:100" s="49" customFormat="1" ht="15.75" customHeight="1" x14ac:dyDescent="0.25">
      <c r="A263" s="40" t="s">
        <v>531</v>
      </c>
      <c r="B263" s="46" t="s">
        <v>87</v>
      </c>
      <c r="C263" s="62">
        <v>-33494037</v>
      </c>
      <c r="D263" s="50">
        <v>-70597500</v>
      </c>
      <c r="E263" s="54" t="s">
        <v>780</v>
      </c>
      <c r="F263" s="54">
        <v>-33495278</v>
      </c>
      <c r="G263" s="54">
        <v>-70601974</v>
      </c>
      <c r="H263" s="54" t="s">
        <v>781</v>
      </c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0"/>
      <c r="AF263" s="54"/>
      <c r="AG263" s="54"/>
      <c r="AH263" s="54"/>
      <c r="AI263" s="54"/>
      <c r="AJ263" s="54"/>
      <c r="AK263" s="46">
        <f t="shared" si="45"/>
        <v>0</v>
      </c>
      <c r="AL263" s="46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46">
        <f t="shared" si="46"/>
        <v>0</v>
      </c>
      <c r="BA263" s="46"/>
      <c r="BB263" s="54"/>
      <c r="BC263" s="54"/>
      <c r="BD263" s="54"/>
      <c r="BE263" s="54"/>
      <c r="BF263" s="54"/>
      <c r="BG263" s="54"/>
      <c r="BH263" s="54"/>
      <c r="BI263" s="54"/>
      <c r="BJ263" s="46">
        <f t="shared" si="47"/>
        <v>0</v>
      </c>
      <c r="BK263" s="50"/>
      <c r="BL263" s="56"/>
      <c r="BM263" s="56"/>
      <c r="BN263" s="56"/>
      <c r="BO263" s="56"/>
      <c r="BP263" s="56"/>
      <c r="BQ263" s="56"/>
      <c r="BR263" s="54"/>
      <c r="BS263" s="47">
        <f t="shared" si="48"/>
        <v>0</v>
      </c>
      <c r="BT263" s="47"/>
      <c r="BU263" s="44">
        <f t="shared" si="49"/>
        <v>0</v>
      </c>
      <c r="BV263" s="44">
        <f t="shared" si="50"/>
        <v>0</v>
      </c>
      <c r="BW263" s="44">
        <f t="shared" si="51"/>
        <v>0</v>
      </c>
      <c r="BX263" s="44">
        <f t="shared" si="52"/>
        <v>0</v>
      </c>
      <c r="BY263" s="44">
        <f t="shared" si="53"/>
        <v>0</v>
      </c>
      <c r="BZ263" s="56"/>
      <c r="CA263" s="44">
        <f t="shared" si="54"/>
        <v>0</v>
      </c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56"/>
      <c r="CP263" s="56"/>
      <c r="CQ263" s="56"/>
      <c r="CR263" s="56"/>
      <c r="CS263" s="56"/>
      <c r="CT263" s="56"/>
      <c r="CU263" s="56"/>
      <c r="CV263" s="56"/>
    </row>
    <row r="264" spans="1:100" s="49" customFormat="1" ht="15.75" customHeight="1" x14ac:dyDescent="0.25">
      <c r="A264" s="40" t="s">
        <v>531</v>
      </c>
      <c r="B264" s="46" t="s">
        <v>87</v>
      </c>
      <c r="C264" s="62">
        <v>-33494037</v>
      </c>
      <c r="D264" s="50">
        <v>-70597500</v>
      </c>
      <c r="E264" s="54" t="s">
        <v>782</v>
      </c>
      <c r="F264" s="54">
        <v>-33495278</v>
      </c>
      <c r="G264" s="54">
        <v>-70601974</v>
      </c>
      <c r="H264" s="54" t="s">
        <v>783</v>
      </c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0"/>
      <c r="AF264" s="54"/>
      <c r="AG264" s="54"/>
      <c r="AH264" s="54"/>
      <c r="AI264" s="54"/>
      <c r="AJ264" s="54"/>
      <c r="AK264" s="46">
        <f t="shared" si="45"/>
        <v>0</v>
      </c>
      <c r="AL264" s="46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46">
        <f t="shared" si="46"/>
        <v>0</v>
      </c>
      <c r="BA264" s="46"/>
      <c r="BB264" s="54"/>
      <c r="BC264" s="54"/>
      <c r="BD264" s="54"/>
      <c r="BE264" s="54"/>
      <c r="BF264" s="54"/>
      <c r="BG264" s="54"/>
      <c r="BH264" s="54"/>
      <c r="BI264" s="54"/>
      <c r="BJ264" s="46">
        <f t="shared" si="47"/>
        <v>0</v>
      </c>
      <c r="BK264" s="50"/>
      <c r="BL264" s="56"/>
      <c r="BM264" s="56"/>
      <c r="BN264" s="56"/>
      <c r="BO264" s="56"/>
      <c r="BP264" s="56"/>
      <c r="BQ264" s="56"/>
      <c r="BR264" s="54"/>
      <c r="BS264" s="47">
        <f t="shared" si="48"/>
        <v>0</v>
      </c>
      <c r="BT264" s="47"/>
      <c r="BU264" s="44">
        <f t="shared" si="49"/>
        <v>0</v>
      </c>
      <c r="BV264" s="44">
        <f t="shared" si="50"/>
        <v>0</v>
      </c>
      <c r="BW264" s="44">
        <f t="shared" si="51"/>
        <v>0</v>
      </c>
      <c r="BX264" s="44">
        <f t="shared" si="52"/>
        <v>0</v>
      </c>
      <c r="BY264" s="44">
        <f t="shared" si="53"/>
        <v>0</v>
      </c>
      <c r="BZ264" s="56"/>
      <c r="CA264" s="44">
        <f t="shared" si="54"/>
        <v>0</v>
      </c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56"/>
      <c r="CP264" s="56"/>
      <c r="CQ264" s="56"/>
      <c r="CR264" s="56"/>
      <c r="CS264" s="56"/>
      <c r="CT264" s="56"/>
      <c r="CU264" s="56"/>
      <c r="CV264" s="56"/>
    </row>
    <row r="265" spans="1:100" s="49" customFormat="1" ht="15.75" customHeight="1" x14ac:dyDescent="0.25">
      <c r="A265" s="40" t="s">
        <v>531</v>
      </c>
      <c r="B265" s="46" t="s">
        <v>87</v>
      </c>
      <c r="C265" s="62">
        <v>-33494037</v>
      </c>
      <c r="D265" s="50">
        <v>-70597500</v>
      </c>
      <c r="E265" s="54" t="s">
        <v>784</v>
      </c>
      <c r="F265" s="54">
        <v>-33495278</v>
      </c>
      <c r="G265" s="54">
        <v>-70601974</v>
      </c>
      <c r="H265" s="54" t="s">
        <v>785</v>
      </c>
      <c r="I265" s="54">
        <v>0</v>
      </c>
      <c r="J265" s="54">
        <v>0</v>
      </c>
      <c r="K265" s="54">
        <v>0</v>
      </c>
      <c r="L265" s="54">
        <v>1</v>
      </c>
      <c r="M265" s="54">
        <v>1</v>
      </c>
      <c r="N265" s="54">
        <v>1</v>
      </c>
      <c r="O265" s="54">
        <v>1</v>
      </c>
      <c r="P265" s="54">
        <v>0</v>
      </c>
      <c r="Q265" s="54">
        <v>1</v>
      </c>
      <c r="R265" s="54">
        <v>1</v>
      </c>
      <c r="S265" s="54">
        <v>1</v>
      </c>
      <c r="T265" s="54">
        <v>1</v>
      </c>
      <c r="U265" s="54">
        <v>0</v>
      </c>
      <c r="V265" s="54">
        <v>1</v>
      </c>
      <c r="W265" s="54">
        <v>1</v>
      </c>
      <c r="X265" s="54">
        <v>0</v>
      </c>
      <c r="Y265" s="54">
        <v>0</v>
      </c>
      <c r="Z265" s="54">
        <v>0</v>
      </c>
      <c r="AA265" s="54">
        <v>0</v>
      </c>
      <c r="AB265" s="54">
        <v>1</v>
      </c>
      <c r="AC265" s="54">
        <v>1</v>
      </c>
      <c r="AD265" s="54">
        <v>0</v>
      </c>
      <c r="AE265" s="50">
        <v>1</v>
      </c>
      <c r="AF265" s="54">
        <v>1</v>
      </c>
      <c r="AG265" s="54">
        <v>1</v>
      </c>
      <c r="AH265" s="54">
        <v>1</v>
      </c>
      <c r="AI265" s="54">
        <v>0</v>
      </c>
      <c r="AJ265" s="54">
        <v>0</v>
      </c>
      <c r="AK265" s="46">
        <f t="shared" ref="AK265" si="55">SUM(I265:AJ265)</f>
        <v>16</v>
      </c>
      <c r="AL265" s="46"/>
      <c r="AM265" s="54">
        <v>1</v>
      </c>
      <c r="AN265" s="54">
        <v>1</v>
      </c>
      <c r="AO265" s="54">
        <v>1</v>
      </c>
      <c r="AP265" s="54">
        <v>1</v>
      </c>
      <c r="AQ265" s="54">
        <v>1</v>
      </c>
      <c r="AR265" s="54">
        <v>0</v>
      </c>
      <c r="AS265" s="54">
        <v>1</v>
      </c>
      <c r="AT265" s="54">
        <v>0</v>
      </c>
      <c r="AU265" s="54">
        <v>0</v>
      </c>
      <c r="AV265" s="54">
        <v>0</v>
      </c>
      <c r="AW265" s="54">
        <v>1</v>
      </c>
      <c r="AX265" s="54">
        <v>1</v>
      </c>
      <c r="AY265" s="54">
        <v>1</v>
      </c>
      <c r="AZ265" s="46">
        <f t="shared" ref="AZ265" si="56">SUM(AM265:AY265)</f>
        <v>9</v>
      </c>
      <c r="BA265" s="46"/>
      <c r="BB265" s="54">
        <v>0</v>
      </c>
      <c r="BC265" s="54">
        <v>0</v>
      </c>
      <c r="BD265" s="54">
        <v>0</v>
      </c>
      <c r="BE265" s="54">
        <v>0</v>
      </c>
      <c r="BF265" s="54">
        <v>0</v>
      </c>
      <c r="BG265" s="54">
        <v>0</v>
      </c>
      <c r="BH265" s="54">
        <v>0</v>
      </c>
      <c r="BI265" s="54">
        <v>0</v>
      </c>
      <c r="BJ265" s="46">
        <f t="shared" ref="BJ265" si="57">SUM(BB265:BI265)</f>
        <v>0</v>
      </c>
      <c r="BK265" s="50"/>
      <c r="BL265" s="56">
        <v>0</v>
      </c>
      <c r="BM265" s="56">
        <v>0</v>
      </c>
      <c r="BN265" s="56">
        <v>0</v>
      </c>
      <c r="BO265" s="56">
        <v>0</v>
      </c>
      <c r="BP265" s="56">
        <v>0</v>
      </c>
      <c r="BQ265" s="56">
        <v>0</v>
      </c>
      <c r="BR265" s="54">
        <v>0</v>
      </c>
      <c r="BS265" s="47">
        <f t="shared" ref="BS265" si="58">SUM(BL265:BR265)</f>
        <v>0</v>
      </c>
      <c r="BT265" s="47"/>
      <c r="BU265" s="44">
        <f t="shared" ref="BU265" si="59">AK265</f>
        <v>16</v>
      </c>
      <c r="BV265" s="44">
        <f t="shared" ref="BV265" si="60">AZ265</f>
        <v>9</v>
      </c>
      <c r="BW265" s="44">
        <f t="shared" ref="BW265" si="61">BU265+BV265</f>
        <v>25</v>
      </c>
      <c r="BX265" s="44">
        <f t="shared" ref="BX265" si="62">BJ265</f>
        <v>0</v>
      </c>
      <c r="BY265" s="44">
        <f t="shared" ref="BY265" si="63">BS265</f>
        <v>0</v>
      </c>
      <c r="BZ265" s="56"/>
      <c r="CA265" s="44">
        <f t="shared" ref="CA265" si="64">BW265+BX265+BY265</f>
        <v>25</v>
      </c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56"/>
      <c r="CP265" s="56"/>
      <c r="CQ265" s="56"/>
      <c r="CR265" s="56"/>
      <c r="CS265" s="56"/>
      <c r="CT265" s="56"/>
      <c r="CU265" s="56"/>
      <c r="CV265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Pinheiro</dc:creator>
  <cp:lastModifiedBy>Benjamín Buzeta</cp:lastModifiedBy>
  <dcterms:created xsi:type="dcterms:W3CDTF">2026-03-24T21:36:09Z</dcterms:created>
  <dcterms:modified xsi:type="dcterms:W3CDTF">2026-04-06T00:03:30Z</dcterms:modified>
</cp:coreProperties>
</file>